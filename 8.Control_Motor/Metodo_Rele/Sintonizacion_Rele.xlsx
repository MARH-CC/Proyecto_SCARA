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militareduco-my.sharepoint.com/personal/est_miguel_arojas_unimilitar_edu_co/Documents/Escritorio/"/>
    </mc:Choice>
  </mc:AlternateContent>
  <xr:revisionPtr revIDLastSave="0" documentId="14_{0D59A145-5728-417D-8FB9-4E1DE49701B7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Datos" sheetId="1" r:id="rId1"/>
    <sheet name="PI" sheetId="2" r:id="rId2"/>
    <sheet name="PID" sheetId="3" r:id="rId3"/>
    <sheet name="Análisi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4" l="1"/>
  <c r="H41" i="4"/>
  <c r="J41" i="4" s="1"/>
  <c r="I40" i="4"/>
  <c r="H40" i="4"/>
  <c r="I39" i="4"/>
  <c r="H39" i="4"/>
  <c r="I38" i="4"/>
  <c r="H38" i="4"/>
  <c r="I37" i="4"/>
  <c r="H37" i="4"/>
  <c r="J37" i="4" s="1"/>
  <c r="I36" i="4"/>
  <c r="K37" i="4" s="1"/>
  <c r="H36" i="4"/>
  <c r="I35" i="4"/>
  <c r="H35" i="4"/>
  <c r="I34" i="4"/>
  <c r="H34" i="4"/>
  <c r="I33" i="4"/>
  <c r="H33" i="4"/>
  <c r="I32" i="4"/>
  <c r="H32" i="4"/>
  <c r="J32" i="4" s="1"/>
  <c r="B32" i="4"/>
  <c r="I31" i="4"/>
  <c r="H31" i="4"/>
  <c r="I30" i="4"/>
  <c r="K32" i="4" s="1"/>
  <c r="H30" i="4"/>
  <c r="I29" i="4"/>
  <c r="H29" i="4"/>
  <c r="J29" i="4" s="1"/>
  <c r="I28" i="4"/>
  <c r="H28" i="4"/>
  <c r="J28" i="4" s="1"/>
  <c r="I27" i="4"/>
  <c r="H27" i="4"/>
  <c r="I26" i="4"/>
  <c r="K27" i="4" s="1"/>
  <c r="H26" i="4"/>
  <c r="J25" i="4"/>
  <c r="I25" i="4"/>
  <c r="H25" i="4"/>
  <c r="I24" i="4"/>
  <c r="H24" i="4"/>
  <c r="I23" i="4"/>
  <c r="H23" i="4"/>
  <c r="I22" i="4"/>
  <c r="K22" i="4" s="1"/>
  <c r="H22" i="4"/>
  <c r="J22" i="4" s="1"/>
  <c r="K21" i="4"/>
  <c r="I21" i="4"/>
  <c r="H21" i="4"/>
  <c r="I20" i="4"/>
  <c r="K20" i="4" s="1"/>
  <c r="H20" i="4"/>
  <c r="I19" i="4"/>
  <c r="H19" i="4"/>
  <c r="I18" i="4"/>
  <c r="K18" i="4" s="1"/>
  <c r="H18" i="4"/>
  <c r="I17" i="4"/>
  <c r="H17" i="4"/>
  <c r="I16" i="4"/>
  <c r="H16" i="4"/>
  <c r="J16" i="4" s="1"/>
  <c r="K15" i="4"/>
  <c r="I15" i="4"/>
  <c r="H15" i="4"/>
  <c r="I14" i="4"/>
  <c r="K17" i="4" s="1"/>
  <c r="H14" i="4"/>
  <c r="I13" i="4"/>
  <c r="H13" i="4"/>
  <c r="I12" i="4"/>
  <c r="K12" i="4" s="1"/>
  <c r="H12" i="4"/>
  <c r="I11" i="4"/>
  <c r="H11" i="4"/>
  <c r="J11" i="4" s="1"/>
  <c r="B11" i="4"/>
  <c r="I10" i="4"/>
  <c r="H10" i="4"/>
  <c r="J10" i="4" s="1"/>
  <c r="K9" i="4"/>
  <c r="I9" i="4"/>
  <c r="H9" i="4"/>
  <c r="B9" i="4"/>
  <c r="I8" i="4"/>
  <c r="K8" i="4" s="1"/>
  <c r="H8" i="4"/>
  <c r="B8" i="4"/>
  <c r="I7" i="4"/>
  <c r="K7" i="4" s="1"/>
  <c r="H7" i="4"/>
  <c r="J7" i="4" s="1"/>
  <c r="B7" i="4"/>
  <c r="I6" i="4"/>
  <c r="H6" i="4"/>
  <c r="C10" i="2"/>
  <c r="H10" i="2" s="1"/>
  <c r="D37" i="4" s="1"/>
  <c r="B10" i="2"/>
  <c r="G10" i="2" s="1"/>
  <c r="A10" i="2"/>
  <c r="B38" i="4" s="1"/>
  <c r="C9" i="2"/>
  <c r="H9" i="2" s="1"/>
  <c r="D31" i="4" s="1"/>
  <c r="A9" i="2"/>
  <c r="C8" i="2"/>
  <c r="H8" i="2" s="1"/>
  <c r="D25" i="4" s="1"/>
  <c r="A8" i="2"/>
  <c r="B26" i="4" s="1"/>
  <c r="H7" i="2"/>
  <c r="D19" i="4" s="1"/>
  <c r="C7" i="2"/>
  <c r="B7" i="2"/>
  <c r="G7" i="2" s="1"/>
  <c r="I7" i="2" s="1"/>
  <c r="F19" i="4" s="1"/>
  <c r="A7" i="2"/>
  <c r="H6" i="2"/>
  <c r="D13" i="4" s="1"/>
  <c r="G6" i="2"/>
  <c r="C13" i="4" s="1"/>
  <c r="C6" i="2"/>
  <c r="A6" i="2"/>
  <c r="H5" i="2"/>
  <c r="D7" i="4" s="1"/>
  <c r="C5" i="2"/>
  <c r="A5" i="2"/>
  <c r="B6" i="4" s="1"/>
  <c r="E11" i="1"/>
  <c r="B10" i="3" s="1"/>
  <c r="D11" i="1"/>
  <c r="E10" i="1"/>
  <c r="B9" i="2" s="1"/>
  <c r="D10" i="1"/>
  <c r="E9" i="1"/>
  <c r="B8" i="2" s="1"/>
  <c r="D9" i="1"/>
  <c r="E8" i="1"/>
  <c r="D8" i="1"/>
  <c r="E7" i="1"/>
  <c r="B6" i="2" s="1"/>
  <c r="D6" i="2" s="1"/>
  <c r="C12" i="4" s="1"/>
  <c r="D7" i="1"/>
  <c r="E6" i="1"/>
  <c r="B5" i="2" s="1"/>
  <c r="D6" i="1"/>
  <c r="S10" i="3"/>
  <c r="D40" i="4" s="1"/>
  <c r="C10" i="3"/>
  <c r="AA10" i="3" s="1"/>
  <c r="E41" i="4" s="1"/>
  <c r="A10" i="3"/>
  <c r="C9" i="3"/>
  <c r="Z9" i="3" s="1"/>
  <c r="D35" i="4" s="1"/>
  <c r="A9" i="3"/>
  <c r="AB8" i="3"/>
  <c r="F29" i="4" s="1"/>
  <c r="Y8" i="3"/>
  <c r="C29" i="4" s="1"/>
  <c r="K8" i="3"/>
  <c r="E8" i="3"/>
  <c r="D26" i="4" s="1"/>
  <c r="C8" i="3"/>
  <c r="Z8" i="3" s="1"/>
  <c r="D29" i="4" s="1"/>
  <c r="B8" i="3"/>
  <c r="D8" i="3" s="1"/>
  <c r="A8" i="3"/>
  <c r="Z7" i="3"/>
  <c r="D23" i="4" s="1"/>
  <c r="T7" i="3"/>
  <c r="E22" i="4" s="1"/>
  <c r="L7" i="3"/>
  <c r="D21" i="4" s="1"/>
  <c r="F7" i="3"/>
  <c r="E20" i="4" s="1"/>
  <c r="D7" i="3"/>
  <c r="C20" i="4" s="1"/>
  <c r="C7" i="3"/>
  <c r="M7" i="3" s="1"/>
  <c r="E21" i="4" s="1"/>
  <c r="B7" i="3"/>
  <c r="Y7" i="3" s="1"/>
  <c r="A7" i="3"/>
  <c r="Y6" i="3"/>
  <c r="K6" i="3"/>
  <c r="C15" i="4" s="1"/>
  <c r="C6" i="3"/>
  <c r="L6" i="3" s="1"/>
  <c r="D15" i="4" s="1"/>
  <c r="B6" i="3"/>
  <c r="R6" i="3" s="1"/>
  <c r="A6" i="3"/>
  <c r="Z5" i="3"/>
  <c r="D11" i="4" s="1"/>
  <c r="T5" i="3"/>
  <c r="E10" i="4" s="1"/>
  <c r="S5" i="3"/>
  <c r="D10" i="4" s="1"/>
  <c r="L5" i="3"/>
  <c r="D9" i="4" s="1"/>
  <c r="F5" i="3"/>
  <c r="E8" i="4" s="1"/>
  <c r="C5" i="3"/>
  <c r="AA5" i="3" s="1"/>
  <c r="E11" i="4" s="1"/>
  <c r="B5" i="3"/>
  <c r="K5" i="3" s="1"/>
  <c r="A5" i="3"/>
  <c r="L37" i="4" l="1"/>
  <c r="N37" i="4" s="1"/>
  <c r="K34" i="4"/>
  <c r="K10" i="4"/>
  <c r="L10" i="4" s="1"/>
  <c r="N10" i="4" s="1"/>
  <c r="K16" i="4"/>
  <c r="J38" i="4"/>
  <c r="J8" i="4"/>
  <c r="L8" i="4" s="1"/>
  <c r="N8" i="4" s="1"/>
  <c r="J14" i="4"/>
  <c r="J20" i="4"/>
  <c r="L20" i="4" s="1"/>
  <c r="N20" i="4" s="1"/>
  <c r="J23" i="4"/>
  <c r="J39" i="4"/>
  <c r="J6" i="4"/>
  <c r="K14" i="4"/>
  <c r="K23" i="4"/>
  <c r="K6" i="4"/>
  <c r="J9" i="4"/>
  <c r="L9" i="4" s="1"/>
  <c r="N9" i="4" s="1"/>
  <c r="J15" i="4"/>
  <c r="L15" i="4" s="1"/>
  <c r="N15" i="4" s="1"/>
  <c r="J21" i="4"/>
  <c r="L21" i="4" s="1"/>
  <c r="N21" i="4" s="1"/>
  <c r="K26" i="4"/>
  <c r="K29" i="4"/>
  <c r="J36" i="4"/>
  <c r="J40" i="4"/>
  <c r="K28" i="4"/>
  <c r="J35" i="4"/>
  <c r="K11" i="4"/>
  <c r="J17" i="4"/>
  <c r="L17" i="4" s="1"/>
  <c r="N17" i="4" s="1"/>
  <c r="J26" i="4"/>
  <c r="J12" i="4"/>
  <c r="J18" i="4"/>
  <c r="K24" i="4"/>
  <c r="J27" i="4"/>
  <c r="L27" i="4" s="1"/>
  <c r="N27" i="4" s="1"/>
  <c r="J33" i="4"/>
  <c r="K25" i="4"/>
  <c r="J31" i="4"/>
  <c r="J34" i="4"/>
  <c r="L12" i="4"/>
  <c r="N12" i="4" s="1"/>
  <c r="L32" i="4"/>
  <c r="N32" i="4" s="1"/>
  <c r="L25" i="4"/>
  <c r="N25" i="4" s="1"/>
  <c r="L18" i="4"/>
  <c r="N18" i="4" s="1"/>
  <c r="K39" i="4"/>
  <c r="K35" i="4"/>
  <c r="L35" i="4" s="1"/>
  <c r="N35" i="4" s="1"/>
  <c r="K31" i="4"/>
  <c r="J24" i="4"/>
  <c r="L24" i="4" s="1"/>
  <c r="N24" i="4" s="1"/>
  <c r="L7" i="4"/>
  <c r="N7" i="4" s="1"/>
  <c r="L14" i="4"/>
  <c r="N14" i="4" s="1"/>
  <c r="K40" i="4"/>
  <c r="L40" i="4" s="1"/>
  <c r="N40" i="4" s="1"/>
  <c r="J13" i="4"/>
  <c r="K33" i="4"/>
  <c r="K13" i="4"/>
  <c r="L11" i="4"/>
  <c r="N11" i="4" s="1"/>
  <c r="K19" i="4"/>
  <c r="K30" i="4"/>
  <c r="J19" i="4"/>
  <c r="J30" i="4"/>
  <c r="K38" i="4"/>
  <c r="L38" i="4" s="1"/>
  <c r="N38" i="4" s="1"/>
  <c r="K41" i="4"/>
  <c r="L41" i="4" s="1"/>
  <c r="N41" i="4" s="1"/>
  <c r="R10" i="3"/>
  <c r="D10" i="3"/>
  <c r="Y10" i="3"/>
  <c r="K10" i="3"/>
  <c r="C37" i="4"/>
  <c r="I10" i="2"/>
  <c r="F37" i="4" s="1"/>
  <c r="C23" i="4"/>
  <c r="AC7" i="3"/>
  <c r="G23" i="4" s="1"/>
  <c r="AB7" i="3"/>
  <c r="F23" i="4" s="1"/>
  <c r="C26" i="4"/>
  <c r="G8" i="3"/>
  <c r="F26" i="4" s="1"/>
  <c r="D8" i="2"/>
  <c r="C24" i="4" s="1"/>
  <c r="G8" i="2"/>
  <c r="C9" i="4"/>
  <c r="N5" i="3"/>
  <c r="F9" i="4" s="1"/>
  <c r="V6" i="3"/>
  <c r="G16" i="4" s="1"/>
  <c r="C16" i="4"/>
  <c r="N8" i="3"/>
  <c r="F27" i="4" s="1"/>
  <c r="G5" i="2"/>
  <c r="D5" i="2"/>
  <c r="C6" i="4" s="1"/>
  <c r="G9" i="2"/>
  <c r="D9" i="2"/>
  <c r="C30" i="4" s="1"/>
  <c r="M5" i="3"/>
  <c r="E9" i="4" s="1"/>
  <c r="Y5" i="3"/>
  <c r="D6" i="3"/>
  <c r="N6" i="3"/>
  <c r="F15" i="4" s="1"/>
  <c r="Z6" i="3"/>
  <c r="D17" i="4" s="1"/>
  <c r="E7" i="3"/>
  <c r="D20" i="4" s="1"/>
  <c r="AA7" i="3"/>
  <c r="E23" i="4" s="1"/>
  <c r="F8" i="3"/>
  <c r="E26" i="4" s="1"/>
  <c r="R8" i="3"/>
  <c r="AC8" i="3"/>
  <c r="G29" i="4" s="1"/>
  <c r="E10" i="3"/>
  <c r="D38" i="4" s="1"/>
  <c r="T10" i="3"/>
  <c r="E40" i="4" s="1"/>
  <c r="C19" i="4"/>
  <c r="L29" i="4"/>
  <c r="N29" i="4" s="1"/>
  <c r="E6" i="3"/>
  <c r="D14" i="4" s="1"/>
  <c r="AA6" i="3"/>
  <c r="E17" i="4" s="1"/>
  <c r="R7" i="3"/>
  <c r="S8" i="3"/>
  <c r="D28" i="4" s="1"/>
  <c r="L9" i="3"/>
  <c r="D33" i="4" s="1"/>
  <c r="B17" i="4"/>
  <c r="B15" i="4"/>
  <c r="B13" i="4"/>
  <c r="B12" i="4"/>
  <c r="B16" i="4"/>
  <c r="D7" i="2"/>
  <c r="C18" i="4" s="1"/>
  <c r="B35" i="4"/>
  <c r="B33" i="4"/>
  <c r="B31" i="4"/>
  <c r="B30" i="4"/>
  <c r="B34" i="4"/>
  <c r="D10" i="2"/>
  <c r="C36" i="4" s="1"/>
  <c r="M6" i="3"/>
  <c r="E15" i="4" s="1"/>
  <c r="D5" i="3"/>
  <c r="E5" i="3"/>
  <c r="D8" i="4" s="1"/>
  <c r="F6" i="3"/>
  <c r="E14" i="4" s="1"/>
  <c r="AB6" i="3"/>
  <c r="F17" i="4" s="1"/>
  <c r="G7" i="3"/>
  <c r="F20" i="4" s="1"/>
  <c r="S7" i="3"/>
  <c r="D22" i="4" s="1"/>
  <c r="T8" i="3"/>
  <c r="E28" i="4" s="1"/>
  <c r="B9" i="3"/>
  <c r="M9" i="3"/>
  <c r="E33" i="4" s="1"/>
  <c r="C17" i="4"/>
  <c r="C27" i="4"/>
  <c r="L28" i="4"/>
  <c r="N28" i="4" s="1"/>
  <c r="AA9" i="3"/>
  <c r="E35" i="4" s="1"/>
  <c r="E9" i="3"/>
  <c r="D32" i="4" s="1"/>
  <c r="S6" i="3"/>
  <c r="D16" i="4" s="1"/>
  <c r="H7" i="3"/>
  <c r="G20" i="4" s="1"/>
  <c r="T6" i="3"/>
  <c r="E16" i="4" s="1"/>
  <c r="K7" i="3"/>
  <c r="L8" i="3"/>
  <c r="D27" i="4" s="1"/>
  <c r="L10" i="3"/>
  <c r="D39" i="4" s="1"/>
  <c r="B29" i="4"/>
  <c r="B27" i="4"/>
  <c r="B25" i="4"/>
  <c r="B24" i="4"/>
  <c r="B28" i="4"/>
  <c r="B14" i="4"/>
  <c r="L19" i="4"/>
  <c r="N19" i="4" s="1"/>
  <c r="M19" i="4" s="1"/>
  <c r="L23" i="4"/>
  <c r="N23" i="4" s="1"/>
  <c r="F10" i="3"/>
  <c r="E38" i="4" s="1"/>
  <c r="Z10" i="3"/>
  <c r="D41" i="4" s="1"/>
  <c r="M8" i="3"/>
  <c r="F9" i="3"/>
  <c r="E32" i="4" s="1"/>
  <c r="S9" i="3"/>
  <c r="D34" i="4" s="1"/>
  <c r="M10" i="3"/>
  <c r="E39" i="4" s="1"/>
  <c r="I6" i="2"/>
  <c r="F13" i="4" s="1"/>
  <c r="L34" i="4"/>
  <c r="N34" i="4" s="1"/>
  <c r="R5" i="3"/>
  <c r="AA8" i="3"/>
  <c r="E29" i="4" s="1"/>
  <c r="T9" i="3"/>
  <c r="E34" i="4" s="1"/>
  <c r="B23" i="4"/>
  <c r="B21" i="4"/>
  <c r="B19" i="4"/>
  <c r="B18" i="4"/>
  <c r="B22" i="4"/>
  <c r="B41" i="4"/>
  <c r="B39" i="4"/>
  <c r="B37" i="4"/>
  <c r="B36" i="4"/>
  <c r="B40" i="4"/>
  <c r="L16" i="4"/>
  <c r="N16" i="4" s="1"/>
  <c r="B20" i="4"/>
  <c r="L22" i="4"/>
  <c r="N22" i="4" s="1"/>
  <c r="K36" i="4"/>
  <c r="L36" i="4" s="1"/>
  <c r="N36" i="4" s="1"/>
  <c r="B10" i="4"/>
  <c r="L39" i="4" l="1"/>
  <c r="N39" i="4" s="1"/>
  <c r="M39" i="4" s="1"/>
  <c r="L33" i="4"/>
  <c r="N33" i="4" s="1"/>
  <c r="L31" i="4"/>
  <c r="N31" i="4" s="1"/>
  <c r="M40" i="4"/>
  <c r="M25" i="4"/>
  <c r="M18" i="4"/>
  <c r="H52" i="4" s="1"/>
  <c r="M8" i="4"/>
  <c r="M41" i="4"/>
  <c r="M20" i="4"/>
  <c r="M36" i="4"/>
  <c r="A57" i="4" s="1"/>
  <c r="M22" i="4"/>
  <c r="G52" i="4" s="1"/>
  <c r="M23" i="4"/>
  <c r="M38" i="4"/>
  <c r="M24" i="4"/>
  <c r="E53" i="4" s="1"/>
  <c r="L26" i="4"/>
  <c r="N26" i="4" s="1"/>
  <c r="M26" i="4" s="1"/>
  <c r="L6" i="4"/>
  <c r="N6" i="4" s="1"/>
  <c r="M6" i="4" s="1"/>
  <c r="L13" i="4"/>
  <c r="N13" i="4" s="1"/>
  <c r="M13" i="4" s="1"/>
  <c r="M21" i="4"/>
  <c r="I53" i="4"/>
  <c r="D51" i="4"/>
  <c r="A53" i="4"/>
  <c r="L30" i="4"/>
  <c r="N30" i="4" s="1"/>
  <c r="I57" i="4"/>
  <c r="H57" i="4"/>
  <c r="F57" i="4"/>
  <c r="E57" i="4"/>
  <c r="B57" i="4"/>
  <c r="G57" i="4"/>
  <c r="D57" i="4"/>
  <c r="U6" i="3"/>
  <c r="F16" i="4" s="1"/>
  <c r="G6" i="3"/>
  <c r="F14" i="4" s="1"/>
  <c r="C14" i="4"/>
  <c r="H6" i="3"/>
  <c r="G14" i="4" s="1"/>
  <c r="C25" i="4"/>
  <c r="I8" i="2"/>
  <c r="F25" i="4" s="1"/>
  <c r="F51" i="4"/>
  <c r="B51" i="4"/>
  <c r="R9" i="3"/>
  <c r="D9" i="3"/>
  <c r="Y9" i="3"/>
  <c r="K9" i="3"/>
  <c r="AC5" i="3"/>
  <c r="G11" i="4" s="1"/>
  <c r="AB5" i="3"/>
  <c r="F11" i="4" s="1"/>
  <c r="C11" i="4"/>
  <c r="C41" i="4"/>
  <c r="AB10" i="3"/>
  <c r="F41" i="4" s="1"/>
  <c r="AC10" i="3"/>
  <c r="G41" i="4" s="1"/>
  <c r="I9" i="2"/>
  <c r="F31" i="4" s="1"/>
  <c r="C31" i="4"/>
  <c r="D53" i="4"/>
  <c r="E51" i="4"/>
  <c r="AC6" i="3"/>
  <c r="G17" i="4" s="1"/>
  <c r="C38" i="4"/>
  <c r="H10" i="3"/>
  <c r="G38" i="4" s="1"/>
  <c r="G10" i="3"/>
  <c r="F38" i="4" s="1"/>
  <c r="O8" i="3"/>
  <c r="G27" i="4" s="1"/>
  <c r="E27" i="4"/>
  <c r="G53" i="4"/>
  <c r="F53" i="4"/>
  <c r="A51" i="4"/>
  <c r="C40" i="4"/>
  <c r="V10" i="3"/>
  <c r="G40" i="4" s="1"/>
  <c r="U10" i="3"/>
  <c r="F40" i="4" s="1"/>
  <c r="V7" i="3"/>
  <c r="G22" i="4" s="1"/>
  <c r="C22" i="4"/>
  <c r="U7" i="3"/>
  <c r="F22" i="4" s="1"/>
  <c r="U5" i="3"/>
  <c r="F10" i="4" s="1"/>
  <c r="V5" i="3"/>
  <c r="G10" i="4" s="1"/>
  <c r="C10" i="4"/>
  <c r="O6" i="3"/>
  <c r="G15" i="4" s="1"/>
  <c r="C7" i="4"/>
  <c r="I5" i="2"/>
  <c r="F7" i="4" s="1"/>
  <c r="O5" i="3"/>
  <c r="G9" i="4" s="1"/>
  <c r="C51" i="4"/>
  <c r="I51" i="4"/>
  <c r="H5" i="3"/>
  <c r="G8" i="4" s="1"/>
  <c r="C8" i="4"/>
  <c r="G5" i="3"/>
  <c r="F8" i="4" s="1"/>
  <c r="V8" i="3"/>
  <c r="G28" i="4" s="1"/>
  <c r="U8" i="3"/>
  <c r="F28" i="4" s="1"/>
  <c r="C28" i="4"/>
  <c r="N10" i="3"/>
  <c r="F39" i="4" s="1"/>
  <c r="C39" i="4"/>
  <c r="O10" i="3"/>
  <c r="G39" i="4" s="1"/>
  <c r="C21" i="4"/>
  <c r="N7" i="3"/>
  <c r="F21" i="4" s="1"/>
  <c r="O7" i="3"/>
  <c r="G21" i="4" s="1"/>
  <c r="B53" i="4"/>
  <c r="H51" i="4"/>
  <c r="H8" i="3"/>
  <c r="G26" i="4" s="1"/>
  <c r="M37" i="4" l="1"/>
  <c r="M35" i="4"/>
  <c r="M31" i="4"/>
  <c r="M7" i="4"/>
  <c r="M15" i="4"/>
  <c r="I47" i="4"/>
  <c r="C52" i="4"/>
  <c r="F48" i="4"/>
  <c r="M11" i="4"/>
  <c r="D52" i="4"/>
  <c r="M10" i="4"/>
  <c r="E47" i="4" s="1"/>
  <c r="M30" i="4"/>
  <c r="B55" i="4" s="1"/>
  <c r="C48" i="4"/>
  <c r="C47" i="4"/>
  <c r="M33" i="4"/>
  <c r="I52" i="4"/>
  <c r="M32" i="4"/>
  <c r="A52" i="4"/>
  <c r="F52" i="4"/>
  <c r="M29" i="4"/>
  <c r="M14" i="4"/>
  <c r="M17" i="4"/>
  <c r="E52" i="4"/>
  <c r="D47" i="4"/>
  <c r="B47" i="4"/>
  <c r="H48" i="4"/>
  <c r="F47" i="4"/>
  <c r="D58" i="4"/>
  <c r="B58" i="4"/>
  <c r="C53" i="4"/>
  <c r="M9" i="4"/>
  <c r="D48" i="4" s="1"/>
  <c r="M12" i="4"/>
  <c r="H47" i="4"/>
  <c r="B52" i="4"/>
  <c r="G47" i="4"/>
  <c r="A47" i="4"/>
  <c r="C57" i="4"/>
  <c r="G51" i="4"/>
  <c r="M34" i="4"/>
  <c r="M16" i="4"/>
  <c r="M28" i="4"/>
  <c r="H53" i="4" s="1"/>
  <c r="M27" i="4"/>
  <c r="H54" i="4" s="1"/>
  <c r="C32" i="4"/>
  <c r="G9" i="3"/>
  <c r="F32" i="4" s="1"/>
  <c r="H9" i="3"/>
  <c r="G32" i="4" s="1"/>
  <c r="U9" i="3"/>
  <c r="F34" i="4" s="1"/>
  <c r="C34" i="4"/>
  <c r="V9" i="3"/>
  <c r="G34" i="4" s="1"/>
  <c r="AC9" i="3"/>
  <c r="G35" i="4" s="1"/>
  <c r="AB9" i="3"/>
  <c r="F35" i="4" s="1"/>
  <c r="C35" i="4"/>
  <c r="O9" i="3"/>
  <c r="G33" i="4" s="1"/>
  <c r="C33" i="4"/>
  <c r="N9" i="3"/>
  <c r="F33" i="4" s="1"/>
  <c r="I58" i="4" l="1"/>
  <c r="A58" i="4"/>
  <c r="E58" i="4"/>
  <c r="F58" i="4"/>
  <c r="H58" i="4"/>
  <c r="C58" i="4"/>
  <c r="G58" i="4"/>
  <c r="F55" i="4"/>
  <c r="G48" i="4"/>
  <c r="C50" i="4"/>
  <c r="E48" i="4"/>
  <c r="E54" i="4"/>
  <c r="D54" i="4"/>
  <c r="G54" i="4"/>
  <c r="B54" i="4"/>
  <c r="F54" i="4"/>
  <c r="I54" i="4"/>
  <c r="A54" i="4"/>
  <c r="A49" i="4"/>
  <c r="I49" i="4"/>
  <c r="E50" i="4"/>
  <c r="G49" i="4"/>
  <c r="B49" i="4"/>
  <c r="G50" i="4"/>
  <c r="E49" i="4"/>
  <c r="B50" i="4"/>
  <c r="H50" i="4"/>
  <c r="I50" i="4"/>
  <c r="F50" i="4"/>
  <c r="H49" i="4"/>
  <c r="D50" i="4"/>
  <c r="A50" i="4"/>
  <c r="C49" i="4"/>
  <c r="F49" i="4"/>
  <c r="D56" i="4"/>
  <c r="E56" i="4"/>
  <c r="B56" i="4"/>
  <c r="E55" i="4"/>
  <c r="C56" i="4"/>
  <c r="A56" i="4"/>
  <c r="C55" i="4"/>
  <c r="F56" i="4"/>
  <c r="H55" i="4"/>
  <c r="H56" i="4"/>
  <c r="I56" i="4"/>
  <c r="G55" i="4"/>
  <c r="G56" i="4"/>
  <c r="D55" i="4"/>
  <c r="A55" i="4"/>
  <c r="I55" i="4"/>
  <c r="C54" i="4"/>
  <c r="I48" i="4"/>
  <c r="B48" i="4"/>
  <c r="A48" i="4"/>
  <c r="D49" i="4"/>
  <c r="J58" i="4" l="1"/>
  <c r="J49" i="4"/>
  <c r="K58" i="4"/>
  <c r="L58" i="4" s="1"/>
  <c r="N58" i="4" s="1"/>
  <c r="K52" i="4"/>
  <c r="K54" i="4"/>
  <c r="J57" i="4"/>
  <c r="K57" i="4"/>
  <c r="K56" i="4"/>
  <c r="K50" i="4"/>
  <c r="K49" i="4"/>
  <c r="L49" i="4" s="1"/>
  <c r="N49" i="4" s="1"/>
  <c r="J51" i="4"/>
  <c r="J55" i="4"/>
  <c r="J50" i="4"/>
  <c r="J47" i="4"/>
  <c r="L47" i="4" s="1"/>
  <c r="N47" i="4" s="1"/>
  <c r="K48" i="4"/>
  <c r="K51" i="4"/>
  <c r="J52" i="4"/>
  <c r="K55" i="4"/>
  <c r="J48" i="4"/>
  <c r="J56" i="4"/>
  <c r="K47" i="4"/>
  <c r="K53" i="4"/>
  <c r="J53" i="4"/>
  <c r="L53" i="4" s="1"/>
  <c r="N53" i="4" s="1"/>
  <c r="J54" i="4"/>
  <c r="L54" i="4" s="1"/>
  <c r="N54" i="4" s="1"/>
  <c r="L52" i="4" l="1"/>
  <c r="N52" i="4" s="1"/>
  <c r="L50" i="4"/>
  <c r="N50" i="4" s="1"/>
  <c r="L55" i="4"/>
  <c r="N55" i="4" s="1"/>
  <c r="L57" i="4"/>
  <c r="N57" i="4" s="1"/>
  <c r="L56" i="4"/>
  <c r="N56" i="4" s="1"/>
  <c r="L48" i="4"/>
  <c r="N48" i="4" s="1"/>
  <c r="M53" i="4" s="1"/>
  <c r="L51" i="4"/>
  <c r="N51" i="4" s="1"/>
  <c r="M54" i="4" s="1"/>
  <c r="M52" i="4" l="1"/>
  <c r="M55" i="4"/>
  <c r="M57" i="4"/>
  <c r="M51" i="4"/>
  <c r="M50" i="4"/>
  <c r="M48" i="4"/>
  <c r="M56" i="4"/>
  <c r="M58" i="4"/>
  <c r="M47" i="4"/>
  <c r="M49" i="4"/>
  <c r="E64" i="4" l="1"/>
  <c r="G65" i="4"/>
  <c r="I65" i="4"/>
  <c r="F63" i="4"/>
  <c r="E69" i="4" s="1"/>
  <c r="B64" i="4"/>
  <c r="B63" i="4"/>
  <c r="A69" i="4" s="1"/>
  <c r="H64" i="4"/>
  <c r="G64" i="4"/>
  <c r="D65" i="4"/>
  <c r="D63" i="4"/>
  <c r="C69" i="4" s="1"/>
  <c r="G63" i="4"/>
  <c r="F69" i="4" s="1"/>
  <c r="I64" i="4"/>
  <c r="J63" i="4"/>
  <c r="I69" i="4" s="1"/>
  <c r="B65" i="4"/>
  <c r="J65" i="4"/>
  <c r="C64" i="4"/>
  <c r="H65" i="4"/>
  <c r="I63" i="4"/>
  <c r="H69" i="4" s="1"/>
  <c r="F64" i="4"/>
  <c r="C65" i="4"/>
  <c r="J64" i="4"/>
  <c r="C63" i="4"/>
  <c r="B69" i="4" s="1"/>
  <c r="E63" i="4"/>
  <c r="D69" i="4" s="1"/>
  <c r="H63" i="4"/>
  <c r="G69" i="4" s="1"/>
  <c r="F65" i="4"/>
  <c r="E65" i="4"/>
  <c r="D64" i="4"/>
</calcChain>
</file>

<file path=xl/sharedStrings.xml><?xml version="1.0" encoding="utf-8"?>
<sst xmlns="http://schemas.openxmlformats.org/spreadsheetml/2006/main" count="179" uniqueCount="51">
  <si>
    <t>MÉTODO DEL RELÉ — DATOS DEL EXPERIMENTO</t>
  </si>
  <si>
    <t>Amplitud del relé, d (fija):</t>
  </si>
  <si>
    <t>ε (histéresis)</t>
  </si>
  <si>
    <t>Pu (s)</t>
  </si>
  <si>
    <t>Au — pico a valle (osciloscopio)</t>
  </si>
  <si>
    <t>a = Au / 2 (amplitud de pico)</t>
  </si>
  <si>
    <t>Ku = 4d / (π·√(a²−ε²))</t>
  </si>
  <si>
    <t>SINTONIZACIÓN P / PI — Ziegler &amp; Nichols (ciclo último, vía relé)</t>
  </si>
  <si>
    <t>Ziegler-Nichols - P</t>
  </si>
  <si>
    <t>Ziegler-Nichols - PI</t>
  </si>
  <si>
    <t>Kp = 0.5·Ku</t>
  </si>
  <si>
    <t>MS (%)</t>
  </si>
  <si>
    <t>Ts</t>
  </si>
  <si>
    <t>Kp = 0.45·Ku</t>
  </si>
  <si>
    <t>Ti = Pu/1.2</t>
  </si>
  <si>
    <t>Ki = Kp/Ti</t>
  </si>
  <si>
    <t>SINTONIZACIÓN PID — Comparación de 4 métodos (vía relé)</t>
  </si>
  <si>
    <t>Ziegler &amp; Nichols - PID</t>
  </si>
  <si>
    <t>Smith - PID</t>
  </si>
  <si>
    <t>Tan - PID</t>
  </si>
  <si>
    <t>Corripio - PID</t>
  </si>
  <si>
    <t>Kp</t>
  </si>
  <si>
    <t>Ti (s)</t>
  </si>
  <si>
    <t>Td (s)</t>
  </si>
  <si>
    <t>Ki</t>
  </si>
  <si>
    <t>Kd</t>
  </si>
  <si>
    <t>MS</t>
  </si>
  <si>
    <t>ANÁLISIS DE DESEMPEÑO — SELECCIÓN DE LA MEJOR SINTONÍA</t>
  </si>
  <si>
    <t>Criterio: menor sobreimpulso (MS) y menor tiempo de asentamiento (Ts) — datos tal como los mediste tú. Agrupado por ε: se comparan los 6 métodos entre sí para cada ε.</t>
  </si>
  <si>
    <t>1. TABLA COMPLETA — 36 combinaciones (6 valores de ε × 6 métodos)</t>
  </si>
  <si>
    <t>Método</t>
  </si>
  <si>
    <t>ε</t>
  </si>
  <si>
    <t>Ts (s)</t>
  </si>
  <si>
    <t>Rank MS</t>
  </si>
  <si>
    <t>Rank Ts</t>
  </si>
  <si>
    <t>Score</t>
  </si>
  <si>
    <t>Rank en el ε</t>
  </si>
  <si>
    <t>Desempate</t>
  </si>
  <si>
    <t>—</t>
  </si>
  <si>
    <t>Ziegler-Nichols - PID</t>
  </si>
  <si>
    <t>2. MEJORES 2 DE CADA ε (12 candidatos)</t>
  </si>
  <si>
    <t>Rank MS (12)</t>
  </si>
  <si>
    <t>Rank Ts (12)</t>
  </si>
  <si>
    <t>Score global</t>
  </si>
  <si>
    <t>Rank global</t>
  </si>
  <si>
    <t>3. MEJORES 3 EN GENERAL</t>
  </si>
  <si>
    <t>Puesto</t>
  </si>
  <si>
    <t>🥇 1°</t>
  </si>
  <si>
    <t>🥈 2°</t>
  </si>
  <si>
    <t>🥉 3°</t>
  </si>
  <si>
    <t>4. EL MEJOR DE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</si>
</sst>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9"/>
      <color rgb="FF7F7F7F"/>
      <name val="Arial"/>
      <charset val="1"/>
    </font>
    <font>
      <sz val="10"/>
      <name val="Arial"/>
      <charset val="1"/>
    </font>
    <font>
      <sz val="11"/>
      <color rgb="FFFFFFFF"/>
      <name val="Arial"/>
      <charset val="1"/>
    </font>
    <font>
      <b/>
      <sz val="11"/>
      <color rgb="FF000000"/>
      <name val="Arial"/>
      <charset val="1"/>
    </font>
    <font>
      <b/>
      <i/>
      <sz val="11"/>
      <color rgb="FF375623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theme="6" tint="0.59987182226020086"/>
        <bgColor rgb="FFC6E0B4"/>
      </patternFill>
    </fill>
    <fill>
      <patternFill patternType="solid">
        <fgColor rgb="FFFFD966"/>
        <bgColor rgb="FFE8B87B"/>
      </patternFill>
    </fill>
    <fill>
      <patternFill patternType="solid">
        <fgColor rgb="FFD9D9D9"/>
        <bgColor rgb="FFD7E4BD"/>
      </patternFill>
    </fill>
    <fill>
      <patternFill patternType="solid">
        <fgColor rgb="FFE8B87B"/>
        <bgColor rgb="FFFFD966"/>
      </patternFill>
    </fill>
    <fill>
      <patternFill patternType="solid">
        <fgColor rgb="FFC6E0B4"/>
        <bgColor rgb="FFD7E4BD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medium">
        <color auto="1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thin">
        <color rgb="FFBFBFBF"/>
      </top>
      <bottom style="medium">
        <color auto="1"/>
      </bottom>
      <diagonal/>
    </border>
  </borders>
  <cellStyleXfs count="2">
    <xf numFmtId="0" fontId="0" fillId="0" borderId="0"/>
    <xf numFmtId="9" fontId="7" fillId="0" borderId="0"/>
  </cellStyleXfs>
  <cellXfs count="75">
    <xf numFmtId="0" fontId="0" fillId="0" borderId="0" xfId="0"/>
    <xf numFmtId="0" fontId="10" fillId="0" borderId="0" xfId="0" applyFont="1"/>
    <xf numFmtId="0" fontId="8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0" borderId="0" xfId="0" applyFont="1"/>
    <xf numFmtId="0" fontId="4" fillId="5" borderId="12" xfId="0" applyFon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4" fillId="4" borderId="12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4" fillId="4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5" fontId="5" fillId="6" borderId="13" xfId="0" applyNumberFormat="1" applyFont="1" applyFill="1" applyBorder="1" applyAlignment="1">
      <alignment horizontal="center" vertical="center"/>
    </xf>
    <xf numFmtId="2" fontId="7" fillId="0" borderId="0" xfId="1" applyNumberFormat="1" applyAlignment="1">
      <alignment horizontal="center"/>
    </xf>
    <xf numFmtId="165" fontId="5" fillId="6" borderId="5" xfId="0" applyNumberFormat="1" applyFont="1" applyFill="1" applyBorder="1" applyAlignment="1">
      <alignment horizontal="center" vertical="center"/>
    </xf>
    <xf numFmtId="165" fontId="5" fillId="6" borderId="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5" fillId="0" borderId="5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5" fontId="5" fillId="6" borderId="14" xfId="0" applyNumberFormat="1" applyFont="1" applyFill="1" applyBorder="1" applyAlignment="1">
      <alignment horizontal="center" vertical="center"/>
    </xf>
    <xf numFmtId="165" fontId="5" fillId="6" borderId="7" xfId="0" applyNumberFormat="1" applyFont="1" applyFill="1" applyBorder="1" applyAlignment="1">
      <alignment horizontal="center" vertical="center"/>
    </xf>
    <xf numFmtId="165" fontId="5" fillId="6" borderId="9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5" fontId="5" fillId="6" borderId="8" xfId="0" applyNumberFormat="1" applyFont="1" applyFill="1" applyBorder="1" applyAlignment="1">
      <alignment horizontal="center" vertical="center"/>
    </xf>
    <xf numFmtId="164" fontId="5" fillId="6" borderId="9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C6E0B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E8B87B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1005840</xdr:colOff>
      <xdr:row>11</xdr:row>
      <xdr:rowOff>257040</xdr:rowOff>
    </xdr:from>
    <xdr:to>
      <xdr:col>8</xdr:col>
      <xdr:colOff>326160</xdr:colOff>
      <xdr:row>17</xdr:row>
      <xdr:rowOff>132780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b="32644"/>
        <a:stretch/>
      </xdr:blipFill>
      <xdr:spPr>
        <a:xfrm>
          <a:off x="2979360" y="2314440"/>
          <a:ext cx="4794840" cy="1140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586800</xdr:colOff>
      <xdr:row>10</xdr:row>
      <xdr:rowOff>129600</xdr:rowOff>
    </xdr:from>
    <xdr:to>
      <xdr:col>8</xdr:col>
      <xdr:colOff>68040</xdr:colOff>
      <xdr:row>11</xdr:row>
      <xdr:rowOff>308880</xdr:rowOff>
    </xdr:to>
    <xdr:grpSp>
      <xdr:nvGrpSpPr>
        <xdr:cNvPr id="2" name="Grupo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956955" y="2018703"/>
          <a:ext cx="3935852" cy="361306"/>
          <a:chOff x="1996560" y="2005920"/>
          <a:chExt cx="4062600" cy="360360"/>
        </a:xfrm>
      </xdr:grpSpPr>
      <xdr:pic>
        <xdr:nvPicPr>
          <xdr:cNvPr id="3" name="Imagen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rcRect b="78248"/>
          <a:stretch/>
        </xdr:blipFill>
        <xdr:spPr>
          <a:xfrm>
            <a:off x="1996560" y="2005920"/>
            <a:ext cx="4062600" cy="36036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10</xdr:col>
      <xdr:colOff>298800</xdr:colOff>
      <xdr:row>11</xdr:row>
      <xdr:rowOff>38880</xdr:rowOff>
    </xdr:from>
    <xdr:to>
      <xdr:col>14</xdr:col>
      <xdr:colOff>664200</xdr:colOff>
      <xdr:row>14</xdr:row>
      <xdr:rowOff>133200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/>
        <a:srcRect t="6417" r="2686" b="2159"/>
        <a:stretch/>
      </xdr:blipFill>
      <xdr:spPr>
        <a:xfrm>
          <a:off x="7840800" y="2096280"/>
          <a:ext cx="3466800" cy="80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60480</xdr:colOff>
      <xdr:row>10</xdr:row>
      <xdr:rowOff>149040</xdr:rowOff>
    </xdr:from>
    <xdr:to>
      <xdr:col>21</xdr:col>
      <xdr:colOff>626040</xdr:colOff>
      <xdr:row>15</xdr:row>
      <xdr:rowOff>1800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029840" y="2025360"/>
          <a:ext cx="3666960" cy="92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325440</xdr:colOff>
      <xdr:row>11</xdr:row>
      <xdr:rowOff>42120</xdr:rowOff>
    </xdr:from>
    <xdr:to>
      <xdr:col>29</xdr:col>
      <xdr:colOff>322920</xdr:colOff>
      <xdr:row>15</xdr:row>
      <xdr:rowOff>18720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7946720" y="2099520"/>
          <a:ext cx="3662640" cy="871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zoomScaleNormal="100" workbookViewId="0">
      <selection activeCell="E15" sqref="E15"/>
    </sheetView>
  </sheetViews>
  <sheetFormatPr baseColWidth="10" defaultColWidth="8.6640625" defaultRowHeight="14.4" x14ac:dyDescent="0.3"/>
  <cols>
    <col min="1" max="1" width="26.88671875" customWidth="1"/>
    <col min="2" max="2" width="11.109375" customWidth="1"/>
    <col min="3" max="3" width="35" customWidth="1"/>
    <col min="4" max="4" width="31.44140625" customWidth="1"/>
    <col min="5" max="5" width="22" customWidth="1"/>
  </cols>
  <sheetData>
    <row r="1" spans="1:5" ht="17.25" customHeight="1" x14ac:dyDescent="0.3">
      <c r="A1" s="10" t="s">
        <v>0</v>
      </c>
      <c r="B1" s="10"/>
      <c r="C1" s="10"/>
      <c r="D1" s="10"/>
      <c r="E1" s="10"/>
    </row>
    <row r="3" spans="1:5" x14ac:dyDescent="0.3">
      <c r="A3" s="11" t="s">
        <v>1</v>
      </c>
      <c r="B3" s="12">
        <v>5</v>
      </c>
    </row>
    <row r="4" spans="1:5" ht="15" customHeight="1" x14ac:dyDescent="0.3"/>
    <row r="5" spans="1:5" x14ac:dyDescent="0.3">
      <c r="A5" s="13" t="s">
        <v>2</v>
      </c>
      <c r="B5" s="14" t="s">
        <v>3</v>
      </c>
      <c r="C5" s="14" t="s">
        <v>4</v>
      </c>
      <c r="D5" s="14" t="s">
        <v>5</v>
      </c>
      <c r="E5" s="15" t="s">
        <v>6</v>
      </c>
    </row>
    <row r="6" spans="1:5" x14ac:dyDescent="0.3">
      <c r="A6" s="16">
        <v>0.1</v>
      </c>
      <c r="B6" s="17">
        <v>0.29620000000000002</v>
      </c>
      <c r="C6" s="17">
        <v>0.27589999999999998</v>
      </c>
      <c r="D6" s="18">
        <f t="shared" ref="D6:D11" si="0">C6/2</f>
        <v>0.13794999999999999</v>
      </c>
      <c r="E6" s="19">
        <f t="shared" ref="E6:E11" si="1">4*$B$3/(PI()*SQRT(D6^2-A6^2))</f>
        <v>66.993301111533825</v>
      </c>
    </row>
    <row r="7" spans="1:5" x14ac:dyDescent="0.3">
      <c r="A7" s="16">
        <v>0.2</v>
      </c>
      <c r="B7" s="17">
        <v>0.43959999999999999</v>
      </c>
      <c r="C7" s="17">
        <v>0.4829</v>
      </c>
      <c r="D7" s="18">
        <f t="shared" si="0"/>
        <v>0.24145</v>
      </c>
      <c r="E7" s="19">
        <f t="shared" si="1"/>
        <v>47.062727720089221</v>
      </c>
    </row>
    <row r="8" spans="1:5" x14ac:dyDescent="0.3">
      <c r="A8" s="16">
        <v>0.3</v>
      </c>
      <c r="B8" s="17">
        <v>0.5766</v>
      </c>
      <c r="C8" s="17">
        <v>0.68440000000000001</v>
      </c>
      <c r="D8" s="18">
        <f t="shared" si="0"/>
        <v>0.3422</v>
      </c>
      <c r="E8" s="19">
        <f t="shared" si="1"/>
        <v>38.671297776103621</v>
      </c>
    </row>
    <row r="9" spans="1:5" x14ac:dyDescent="0.3">
      <c r="A9" s="16">
        <v>0.5</v>
      </c>
      <c r="B9" s="17">
        <v>0.84009999999999996</v>
      </c>
      <c r="C9" s="17">
        <v>1.0839000000000001</v>
      </c>
      <c r="D9" s="18">
        <f t="shared" si="0"/>
        <v>0.54195000000000004</v>
      </c>
      <c r="E9" s="19">
        <f t="shared" si="1"/>
        <v>30.450238662422272</v>
      </c>
    </row>
    <row r="10" spans="1:5" x14ac:dyDescent="0.3">
      <c r="A10" s="16">
        <v>0.7</v>
      </c>
      <c r="B10" s="17">
        <v>1.0988</v>
      </c>
      <c r="C10" s="17">
        <v>1.482</v>
      </c>
      <c r="D10" s="18">
        <f t="shared" si="0"/>
        <v>0.74099999999999999</v>
      </c>
      <c r="E10" s="19">
        <f t="shared" si="1"/>
        <v>26.191248685556307</v>
      </c>
    </row>
    <row r="11" spans="1:5" ht="15" customHeight="1" x14ac:dyDescent="0.3">
      <c r="A11" s="20">
        <v>1</v>
      </c>
      <c r="B11" s="21">
        <v>1.5065999999999999</v>
      </c>
      <c r="C11" s="21">
        <v>2.0848</v>
      </c>
      <c r="D11" s="22">
        <f t="shared" si="0"/>
        <v>1.0424</v>
      </c>
      <c r="E11" s="23">
        <f t="shared" si="1"/>
        <v>21.633500290573171</v>
      </c>
    </row>
    <row r="13" spans="1:5" ht="30" customHeight="1" x14ac:dyDescent="0.3">
      <c r="A13" s="24"/>
      <c r="B13" s="24"/>
      <c r="C13" s="24"/>
      <c r="D13" s="24"/>
      <c r="E13" s="24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showGridLines="0" zoomScaleNormal="100" workbookViewId="0">
      <selection activeCell="H24" sqref="H24"/>
    </sheetView>
  </sheetViews>
  <sheetFormatPr baseColWidth="10" defaultColWidth="8.6640625" defaultRowHeight="14.4" x14ac:dyDescent="0.3"/>
  <cols>
    <col min="1" max="1" width="8" customWidth="1"/>
    <col min="2" max="3" width="10" customWidth="1"/>
    <col min="4" max="4" width="23" customWidth="1"/>
    <col min="5" max="5" width="14.77734375" customWidth="1"/>
    <col min="6" max="6" width="13.5546875" customWidth="1"/>
    <col min="7" max="7" width="13.33203125" customWidth="1"/>
    <col min="8" max="8" width="13" customWidth="1"/>
    <col min="9" max="9" width="13.109375" customWidth="1"/>
    <col min="10" max="10" width="12.33203125" customWidth="1"/>
    <col min="11" max="11" width="12.6640625" customWidth="1"/>
  </cols>
  <sheetData>
    <row r="1" spans="1:11" ht="17.25" customHeight="1" x14ac:dyDescent="0.3">
      <c r="A1" s="10" t="s">
        <v>7</v>
      </c>
      <c r="B1" s="10"/>
      <c r="C1" s="10"/>
      <c r="D1" s="10"/>
      <c r="E1" s="10"/>
      <c r="F1" s="10"/>
      <c r="G1" s="10"/>
      <c r="H1" s="10"/>
    </row>
    <row r="2" spans="1:11" ht="15" customHeight="1" x14ac:dyDescent="0.3"/>
    <row r="3" spans="1:11" x14ac:dyDescent="0.3">
      <c r="A3" s="9"/>
      <c r="B3" s="9"/>
      <c r="C3" s="8"/>
      <c r="D3" s="25" t="s">
        <v>8</v>
      </c>
      <c r="G3" s="5" t="s">
        <v>9</v>
      </c>
      <c r="H3" s="5"/>
      <c r="I3" s="5"/>
    </row>
    <row r="4" spans="1:11" ht="15" customHeight="1" x14ac:dyDescent="0.3">
      <c r="A4" s="9"/>
      <c r="B4" s="9"/>
      <c r="C4" s="8"/>
      <c r="D4" s="26" t="s">
        <v>10</v>
      </c>
      <c r="E4" s="27" t="s">
        <v>11</v>
      </c>
      <c r="F4" s="27" t="s">
        <v>12</v>
      </c>
      <c r="G4" s="28" t="s">
        <v>13</v>
      </c>
      <c r="H4" s="29" t="s">
        <v>14</v>
      </c>
      <c r="I4" s="30" t="s">
        <v>15</v>
      </c>
      <c r="J4" s="27" t="s">
        <v>11</v>
      </c>
      <c r="K4" s="27" t="s">
        <v>12</v>
      </c>
    </row>
    <row r="5" spans="1:11" x14ac:dyDescent="0.3">
      <c r="A5" s="31">
        <f>Datos!A6</f>
        <v>0.1</v>
      </c>
      <c r="B5" s="32">
        <f>Datos!E6</f>
        <v>66.993301111533825</v>
      </c>
      <c r="C5" s="33">
        <f>Datos!B6</f>
        <v>0.29620000000000002</v>
      </c>
      <c r="D5" s="34">
        <f t="shared" ref="D5:D10" si="0">0.5*B5</f>
        <v>33.496650555766912</v>
      </c>
      <c r="E5" s="35">
        <v>14.55</v>
      </c>
      <c r="F5" s="35">
        <v>0.6</v>
      </c>
      <c r="G5" s="36">
        <f t="shared" ref="G5:G10" si="1">0.45*B5</f>
        <v>30.146985500190222</v>
      </c>
      <c r="H5" s="18">
        <f t="shared" ref="H5:H10" si="2">C5/1.2</f>
        <v>0.24683333333333335</v>
      </c>
      <c r="I5" s="37">
        <f t="shared" ref="I5:I10" si="3">G5/H5</f>
        <v>122.13498514594282</v>
      </c>
      <c r="J5" s="35">
        <v>37.130000000000003</v>
      </c>
      <c r="K5" s="38">
        <v>1.2</v>
      </c>
    </row>
    <row r="6" spans="1:11" x14ac:dyDescent="0.3">
      <c r="A6" s="39">
        <f>Datos!A7</f>
        <v>0.2</v>
      </c>
      <c r="B6" s="40">
        <f>Datos!E7</f>
        <v>47.062727720089221</v>
      </c>
      <c r="C6" s="41">
        <f>Datos!B7</f>
        <v>0.43959999999999999</v>
      </c>
      <c r="D6" s="34">
        <f t="shared" si="0"/>
        <v>23.53136386004461</v>
      </c>
      <c r="E6" s="35">
        <v>8.0500000000000007</v>
      </c>
      <c r="F6" s="35">
        <v>0.6</v>
      </c>
      <c r="G6" s="36">
        <f t="shared" si="1"/>
        <v>21.178227474040149</v>
      </c>
      <c r="H6" s="18">
        <f t="shared" si="2"/>
        <v>0.36633333333333334</v>
      </c>
      <c r="I6" s="37">
        <f t="shared" si="3"/>
        <v>57.811357981911236</v>
      </c>
      <c r="J6" s="35">
        <v>26.89</v>
      </c>
      <c r="K6" s="38">
        <v>1.8</v>
      </c>
    </row>
    <row r="7" spans="1:11" x14ac:dyDescent="0.3">
      <c r="A7" s="39">
        <f>Datos!A8</f>
        <v>0.3</v>
      </c>
      <c r="B7" s="40">
        <f>Datos!E8</f>
        <v>38.671297776103621</v>
      </c>
      <c r="C7" s="41">
        <f>Datos!B8</f>
        <v>0.5766</v>
      </c>
      <c r="D7" s="34">
        <f t="shared" si="0"/>
        <v>19.335648888051811</v>
      </c>
      <c r="E7" s="35">
        <v>4.9800000000000004</v>
      </c>
      <c r="F7" s="35">
        <v>0.7</v>
      </c>
      <c r="G7" s="36">
        <f t="shared" si="1"/>
        <v>17.402083999246631</v>
      </c>
      <c r="H7" s="18">
        <f t="shared" si="2"/>
        <v>0.48050000000000004</v>
      </c>
      <c r="I7" s="37">
        <f t="shared" si="3"/>
        <v>36.216616023406097</v>
      </c>
      <c r="J7" s="35">
        <v>21.45</v>
      </c>
      <c r="K7" s="38">
        <v>2.4</v>
      </c>
    </row>
    <row r="8" spans="1:11" x14ac:dyDescent="0.3">
      <c r="A8" s="39">
        <f>Datos!A9</f>
        <v>0.5</v>
      </c>
      <c r="B8" s="40">
        <f>Datos!E9</f>
        <v>30.450238662422272</v>
      </c>
      <c r="C8" s="41">
        <f>Datos!B9</f>
        <v>0.84009999999999996</v>
      </c>
      <c r="D8" s="34">
        <f t="shared" si="0"/>
        <v>15.225119331211136</v>
      </c>
      <c r="E8" s="35">
        <v>2.0099999999999998</v>
      </c>
      <c r="F8" s="35">
        <v>0.6</v>
      </c>
      <c r="G8" s="36">
        <f t="shared" si="1"/>
        <v>13.702607398090024</v>
      </c>
      <c r="H8" s="18">
        <f t="shared" si="2"/>
        <v>0.70008333333333328</v>
      </c>
      <c r="I8" s="37">
        <f t="shared" si="3"/>
        <v>19.572823327827674</v>
      </c>
      <c r="J8" s="35">
        <v>15.71</v>
      </c>
      <c r="K8" s="38">
        <v>2.8</v>
      </c>
    </row>
    <row r="9" spans="1:11" x14ac:dyDescent="0.3">
      <c r="A9" s="39">
        <f>Datos!A10</f>
        <v>0.7</v>
      </c>
      <c r="B9" s="40">
        <f>Datos!E10</f>
        <v>26.191248685556307</v>
      </c>
      <c r="C9" s="41">
        <f>Datos!B10</f>
        <v>1.0988</v>
      </c>
      <c r="D9" s="34">
        <f t="shared" si="0"/>
        <v>13.095624342778153</v>
      </c>
      <c r="E9" s="38">
        <v>0.77</v>
      </c>
      <c r="F9" s="38">
        <v>0.6</v>
      </c>
      <c r="G9" s="36">
        <f t="shared" si="1"/>
        <v>11.786061908500338</v>
      </c>
      <c r="H9" s="18">
        <f t="shared" si="2"/>
        <v>0.91566666666666674</v>
      </c>
      <c r="I9" s="37">
        <f t="shared" si="3"/>
        <v>12.87156378795086</v>
      </c>
      <c r="J9" s="38">
        <v>12.96</v>
      </c>
      <c r="K9" s="38">
        <v>4.5</v>
      </c>
    </row>
    <row r="10" spans="1:11" ht="15" customHeight="1" x14ac:dyDescent="0.3">
      <c r="A10" s="42">
        <f>Datos!A11</f>
        <v>1</v>
      </c>
      <c r="B10" s="43">
        <f>Datos!E11</f>
        <v>21.633500290573171</v>
      </c>
      <c r="C10" s="44">
        <f>Datos!B11</f>
        <v>1.5065999999999999</v>
      </c>
      <c r="D10" s="45">
        <f t="shared" si="0"/>
        <v>10.816750145286585</v>
      </c>
      <c r="E10" s="38">
        <v>0.04</v>
      </c>
      <c r="F10" s="38">
        <v>0.6</v>
      </c>
      <c r="G10" s="46">
        <f t="shared" si="1"/>
        <v>9.7350751307579273</v>
      </c>
      <c r="H10" s="22">
        <f t="shared" si="2"/>
        <v>1.2555000000000001</v>
      </c>
      <c r="I10" s="47">
        <f t="shared" si="3"/>
        <v>7.7539427564778389</v>
      </c>
      <c r="J10" s="38">
        <v>10.65</v>
      </c>
      <c r="K10" s="38">
        <v>7</v>
      </c>
    </row>
    <row r="12" spans="1:11" ht="27.75" customHeight="1" x14ac:dyDescent="0.3">
      <c r="A12" s="24"/>
      <c r="B12" s="24"/>
      <c r="C12" s="24"/>
      <c r="D12" s="24"/>
      <c r="E12" s="24"/>
      <c r="F12" s="24"/>
      <c r="G12" s="24"/>
      <c r="H12" s="24"/>
    </row>
  </sheetData>
  <mergeCells count="5">
    <mergeCell ref="A1:H1"/>
    <mergeCell ref="A3:A4"/>
    <mergeCell ref="B3:B4"/>
    <mergeCell ref="C3:C4"/>
    <mergeCell ref="G3:I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"/>
  <sheetViews>
    <sheetView showGridLines="0" zoomScale="145" zoomScaleNormal="145" workbookViewId="0">
      <selection activeCell="Y16" sqref="Y16"/>
    </sheetView>
  </sheetViews>
  <sheetFormatPr baseColWidth="10" defaultColWidth="8.6640625" defaultRowHeight="14.4" x14ac:dyDescent="0.3"/>
  <cols>
    <col min="1" max="3" width="10" customWidth="1"/>
    <col min="4" max="23" width="11" customWidth="1"/>
    <col min="30" max="30" width="10.6640625" customWidth="1"/>
    <col min="31" max="31" width="10.33203125" customWidth="1"/>
  </cols>
  <sheetData>
    <row r="1" spans="1:31" ht="17.25" customHeight="1" x14ac:dyDescent="0.3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31" ht="15" customHeight="1" x14ac:dyDescent="0.3"/>
    <row r="3" spans="1:31" x14ac:dyDescent="0.3">
      <c r="A3" s="9"/>
      <c r="B3" s="9"/>
      <c r="C3" s="8"/>
      <c r="D3" s="7" t="s">
        <v>17</v>
      </c>
      <c r="E3" s="7"/>
      <c r="F3" s="7"/>
      <c r="G3" s="7"/>
      <c r="H3" s="7"/>
      <c r="K3" s="7" t="s">
        <v>18</v>
      </c>
      <c r="L3" s="7"/>
      <c r="M3" s="7"/>
      <c r="N3" s="7"/>
      <c r="O3" s="7"/>
      <c r="R3" s="7" t="s">
        <v>19</v>
      </c>
      <c r="S3" s="7"/>
      <c r="T3" s="7"/>
      <c r="U3" s="7"/>
      <c r="V3" s="7"/>
      <c r="Y3" s="7" t="s">
        <v>20</v>
      </c>
      <c r="Z3" s="7"/>
      <c r="AA3" s="7"/>
      <c r="AB3" s="7"/>
      <c r="AC3" s="7"/>
    </row>
    <row r="4" spans="1:31" ht="15" customHeight="1" x14ac:dyDescent="0.3">
      <c r="A4" s="9"/>
      <c r="B4" s="9"/>
      <c r="C4" s="8"/>
      <c r="D4" s="28" t="s">
        <v>21</v>
      </c>
      <c r="E4" s="29" t="s">
        <v>22</v>
      </c>
      <c r="F4" s="29" t="s">
        <v>23</v>
      </c>
      <c r="G4" s="29" t="s">
        <v>24</v>
      </c>
      <c r="H4" s="30" t="s">
        <v>25</v>
      </c>
      <c r="I4" s="27" t="s">
        <v>11</v>
      </c>
      <c r="J4" s="27" t="s">
        <v>12</v>
      </c>
      <c r="K4" s="28" t="s">
        <v>21</v>
      </c>
      <c r="L4" s="29" t="s">
        <v>22</v>
      </c>
      <c r="M4" s="29" t="s">
        <v>23</v>
      </c>
      <c r="N4" s="29" t="s">
        <v>24</v>
      </c>
      <c r="O4" s="30" t="s">
        <v>25</v>
      </c>
      <c r="P4" s="27" t="s">
        <v>26</v>
      </c>
      <c r="Q4" s="27" t="s">
        <v>12</v>
      </c>
      <c r="R4" s="28" t="s">
        <v>21</v>
      </c>
      <c r="S4" s="29" t="s">
        <v>22</v>
      </c>
      <c r="T4" s="29" t="s">
        <v>23</v>
      </c>
      <c r="U4" s="29" t="s">
        <v>24</v>
      </c>
      <c r="V4" s="30" t="s">
        <v>25</v>
      </c>
      <c r="W4" s="27" t="s">
        <v>26</v>
      </c>
      <c r="X4" s="27" t="s">
        <v>12</v>
      </c>
      <c r="Y4" s="28" t="s">
        <v>21</v>
      </c>
      <c r="Z4" s="29" t="s">
        <v>22</v>
      </c>
      <c r="AA4" s="29" t="s">
        <v>23</v>
      </c>
      <c r="AB4" s="29" t="s">
        <v>24</v>
      </c>
      <c r="AC4" s="30" t="s">
        <v>25</v>
      </c>
      <c r="AD4" s="27" t="s">
        <v>26</v>
      </c>
      <c r="AE4" s="27" t="s">
        <v>12</v>
      </c>
    </row>
    <row r="5" spans="1:31" x14ac:dyDescent="0.3">
      <c r="A5" s="31">
        <f>Datos!A6</f>
        <v>0.1</v>
      </c>
      <c r="B5" s="32">
        <f>Datos!E6</f>
        <v>66.993301111533825</v>
      </c>
      <c r="C5" s="33">
        <f>Datos!B6</f>
        <v>0.29620000000000002</v>
      </c>
      <c r="D5" s="36">
        <f t="shared" ref="D5:D10" si="0">0.6*$B5</f>
        <v>40.195980666920292</v>
      </c>
      <c r="E5" s="18">
        <f t="shared" ref="E5:E10" si="1">0.5*$C5</f>
        <v>0.14810000000000001</v>
      </c>
      <c r="F5" s="18">
        <f t="shared" ref="F5:F10" si="2">0.125*$C5</f>
        <v>3.7025000000000002E-2</v>
      </c>
      <c r="G5" s="48">
        <f t="shared" ref="G5:G10" si="3">D5/E5</f>
        <v>271.41107810209513</v>
      </c>
      <c r="H5" s="49">
        <f t="shared" ref="H5:H10" si="4">D5*F5</f>
        <v>1.488256184192724</v>
      </c>
      <c r="I5" s="35">
        <v>18.32</v>
      </c>
      <c r="J5" s="38">
        <v>0.8</v>
      </c>
      <c r="K5" s="36">
        <f t="shared" ref="K5:K10" si="5">0.75*$B5</f>
        <v>50.244975833650372</v>
      </c>
      <c r="L5" s="18">
        <f t="shared" ref="L5:L10" si="6">0.625*$C5</f>
        <v>0.18512500000000001</v>
      </c>
      <c r="M5" s="18">
        <f t="shared" ref="M5:M10" si="7">0.1*$C5</f>
        <v>2.9620000000000004E-2</v>
      </c>
      <c r="N5" s="48">
        <f t="shared" ref="N5:N10" si="8">K5/L5</f>
        <v>271.41107810209519</v>
      </c>
      <c r="O5" s="49">
        <f t="shared" ref="O5:O10" si="9">K5*M5</f>
        <v>1.4882561841927242</v>
      </c>
      <c r="P5" s="35">
        <v>16.2</v>
      </c>
      <c r="Q5" s="38">
        <v>0.65</v>
      </c>
      <c r="R5" s="36">
        <f t="shared" ref="R5:R10" si="10">0.5*$B5</f>
        <v>33.496650555766912</v>
      </c>
      <c r="S5" s="18">
        <f t="shared" ref="S5:S10" si="11">$C5</f>
        <v>0.29620000000000002</v>
      </c>
      <c r="T5" s="18">
        <f t="shared" ref="T5:T10" si="12">0.125*$C5</f>
        <v>3.7025000000000002E-2</v>
      </c>
      <c r="U5" s="48">
        <f t="shared" ref="U5:U10" si="13">R5/S5</f>
        <v>113.08794920920631</v>
      </c>
      <c r="V5" s="49">
        <f t="shared" ref="V5:V10" si="14">R5*T5</f>
        <v>1.2402134868272701</v>
      </c>
      <c r="W5" s="35">
        <v>11.97</v>
      </c>
      <c r="X5" s="38">
        <v>1.2</v>
      </c>
      <c r="Y5" s="36">
        <f t="shared" ref="Y5:Y10" si="15">0.75*$B5</f>
        <v>50.244975833650372</v>
      </c>
      <c r="Z5" s="18">
        <f t="shared" ref="Z5:Z10" si="16">0.63*$C5</f>
        <v>0.18660600000000002</v>
      </c>
      <c r="AA5" s="18">
        <f t="shared" ref="AA5:AA10" si="17">0.1*$C5</f>
        <v>2.9620000000000004E-2</v>
      </c>
      <c r="AB5" s="48">
        <f t="shared" ref="AB5:AB10" si="18">Y5/Z5</f>
        <v>269.25702192668172</v>
      </c>
      <c r="AC5" s="49">
        <f t="shared" ref="AC5:AC10" si="19">Y5*AA5</f>
        <v>1.4882561841927242</v>
      </c>
      <c r="AD5" s="35">
        <v>16.100000000000001</v>
      </c>
      <c r="AE5" s="38">
        <v>0.8</v>
      </c>
    </row>
    <row r="6" spans="1:31" x14ac:dyDescent="0.3">
      <c r="A6" s="39">
        <f>Datos!A7</f>
        <v>0.2</v>
      </c>
      <c r="B6" s="40">
        <f>Datos!E7</f>
        <v>47.062727720089221</v>
      </c>
      <c r="C6" s="41">
        <f>Datos!B7</f>
        <v>0.43959999999999999</v>
      </c>
      <c r="D6" s="36">
        <f t="shared" si="0"/>
        <v>28.237636632053533</v>
      </c>
      <c r="E6" s="18">
        <f t="shared" si="1"/>
        <v>0.2198</v>
      </c>
      <c r="F6" s="18">
        <f t="shared" si="2"/>
        <v>5.4949999999999999E-2</v>
      </c>
      <c r="G6" s="48">
        <f t="shared" si="3"/>
        <v>128.4696844042472</v>
      </c>
      <c r="H6" s="49">
        <f t="shared" si="4"/>
        <v>1.5516581329313417</v>
      </c>
      <c r="I6" s="35">
        <v>14.04</v>
      </c>
      <c r="J6" s="38">
        <v>1.3</v>
      </c>
      <c r="K6" s="36">
        <f t="shared" si="5"/>
        <v>35.297045790066917</v>
      </c>
      <c r="L6" s="18">
        <f t="shared" si="6"/>
        <v>0.27474999999999999</v>
      </c>
      <c r="M6" s="18">
        <f t="shared" si="7"/>
        <v>4.3959999999999999E-2</v>
      </c>
      <c r="N6" s="48">
        <f t="shared" si="8"/>
        <v>128.4696844042472</v>
      </c>
      <c r="O6" s="49">
        <f t="shared" si="9"/>
        <v>1.5516581329313417</v>
      </c>
      <c r="P6" s="35">
        <v>11.02</v>
      </c>
      <c r="Q6" s="38">
        <v>1.1000000000000001</v>
      </c>
      <c r="R6" s="36">
        <f t="shared" si="10"/>
        <v>23.53136386004461</v>
      </c>
      <c r="S6" s="18">
        <f t="shared" si="11"/>
        <v>0.43959999999999999</v>
      </c>
      <c r="T6" s="18">
        <f t="shared" si="12"/>
        <v>5.4949999999999999E-2</v>
      </c>
      <c r="U6" s="48">
        <f t="shared" si="13"/>
        <v>53.52903516843633</v>
      </c>
      <c r="V6" s="49">
        <f t="shared" si="14"/>
        <v>1.2930484441094514</v>
      </c>
      <c r="W6" s="35">
        <v>9.81</v>
      </c>
      <c r="X6" s="38">
        <v>1.8</v>
      </c>
      <c r="Y6" s="36">
        <f t="shared" si="15"/>
        <v>35.297045790066917</v>
      </c>
      <c r="Z6" s="18">
        <f t="shared" si="16"/>
        <v>0.27694799999999997</v>
      </c>
      <c r="AA6" s="18">
        <f t="shared" si="17"/>
        <v>4.3959999999999999E-2</v>
      </c>
      <c r="AB6" s="48">
        <f t="shared" si="18"/>
        <v>127.45008373437223</v>
      </c>
      <c r="AC6" s="49">
        <f t="shared" si="19"/>
        <v>1.5516581329313417</v>
      </c>
      <c r="AD6" s="35">
        <v>10.95</v>
      </c>
      <c r="AE6" s="38">
        <v>1</v>
      </c>
    </row>
    <row r="7" spans="1:31" x14ac:dyDescent="0.3">
      <c r="A7" s="39">
        <f>Datos!A8</f>
        <v>0.3</v>
      </c>
      <c r="B7" s="40">
        <f>Datos!E8</f>
        <v>38.671297776103621</v>
      </c>
      <c r="C7" s="41">
        <f>Datos!B8</f>
        <v>0.5766</v>
      </c>
      <c r="D7" s="36">
        <f t="shared" si="0"/>
        <v>23.202778665662173</v>
      </c>
      <c r="E7" s="18">
        <f t="shared" si="1"/>
        <v>0.2883</v>
      </c>
      <c r="F7" s="18">
        <f t="shared" si="2"/>
        <v>7.2075E-2</v>
      </c>
      <c r="G7" s="48">
        <f t="shared" si="3"/>
        <v>80.481368940902442</v>
      </c>
      <c r="H7" s="49">
        <f t="shared" si="4"/>
        <v>1.6723402723276011</v>
      </c>
      <c r="I7" s="35">
        <v>12.17</v>
      </c>
      <c r="J7" s="38">
        <v>1.8</v>
      </c>
      <c r="K7" s="36">
        <f t="shared" si="5"/>
        <v>29.003473332077718</v>
      </c>
      <c r="L7" s="18">
        <f t="shared" si="6"/>
        <v>0.360375</v>
      </c>
      <c r="M7" s="18">
        <f t="shared" si="7"/>
        <v>5.7660000000000003E-2</v>
      </c>
      <c r="N7" s="48">
        <f t="shared" si="8"/>
        <v>80.481368940902442</v>
      </c>
      <c r="O7" s="49">
        <f t="shared" si="9"/>
        <v>1.6723402723276013</v>
      </c>
      <c r="P7" s="35">
        <v>9.36</v>
      </c>
      <c r="Q7" s="38">
        <v>1.6</v>
      </c>
      <c r="R7" s="36">
        <f t="shared" si="10"/>
        <v>19.335648888051811</v>
      </c>
      <c r="S7" s="18">
        <f t="shared" si="11"/>
        <v>0.5766</v>
      </c>
      <c r="T7" s="18">
        <f t="shared" si="12"/>
        <v>7.2075E-2</v>
      </c>
      <c r="U7" s="48">
        <f t="shared" si="13"/>
        <v>33.533903725376014</v>
      </c>
      <c r="V7" s="49">
        <f t="shared" si="14"/>
        <v>1.3936168936063342</v>
      </c>
      <c r="W7" s="35">
        <v>8.67</v>
      </c>
      <c r="X7" s="38">
        <v>2.4</v>
      </c>
      <c r="Y7" s="36">
        <f t="shared" si="15"/>
        <v>29.003473332077718</v>
      </c>
      <c r="Z7" s="18">
        <f t="shared" si="16"/>
        <v>0.36325800000000003</v>
      </c>
      <c r="AA7" s="18">
        <f t="shared" si="17"/>
        <v>5.7660000000000003E-2</v>
      </c>
      <c r="AB7" s="48">
        <f t="shared" si="18"/>
        <v>79.842627917561941</v>
      </c>
      <c r="AC7" s="49">
        <f t="shared" si="19"/>
        <v>1.6723402723276013</v>
      </c>
      <c r="AD7" s="35">
        <v>9.3000000000000007</v>
      </c>
      <c r="AE7" s="38">
        <v>1.5</v>
      </c>
    </row>
    <row r="8" spans="1:31" x14ac:dyDescent="0.3">
      <c r="A8" s="39">
        <f>Datos!A9</f>
        <v>0.5</v>
      </c>
      <c r="B8" s="40">
        <f>Datos!E9</f>
        <v>30.450238662422272</v>
      </c>
      <c r="C8" s="41">
        <f>Datos!B9</f>
        <v>0.84009999999999996</v>
      </c>
      <c r="D8" s="36">
        <f t="shared" si="0"/>
        <v>18.270143197453361</v>
      </c>
      <c r="E8" s="18">
        <f t="shared" si="1"/>
        <v>0.42004999999999998</v>
      </c>
      <c r="F8" s="18">
        <f t="shared" si="2"/>
        <v>0.10501249999999999</v>
      </c>
      <c r="G8" s="48">
        <f t="shared" si="3"/>
        <v>43.495162950728158</v>
      </c>
      <c r="H8" s="49">
        <f t="shared" si="4"/>
        <v>1.918593412522571</v>
      </c>
      <c r="I8" s="35">
        <v>10.14</v>
      </c>
      <c r="J8" s="38">
        <v>1.6</v>
      </c>
      <c r="K8" s="36">
        <f t="shared" si="5"/>
        <v>22.837678996816706</v>
      </c>
      <c r="L8" s="18">
        <f t="shared" si="6"/>
        <v>0.52506249999999999</v>
      </c>
      <c r="M8" s="18">
        <f t="shared" si="7"/>
        <v>8.4010000000000001E-2</v>
      </c>
      <c r="N8" s="48">
        <f t="shared" si="8"/>
        <v>43.495162950728165</v>
      </c>
      <c r="O8" s="49">
        <f t="shared" si="9"/>
        <v>1.9185934125225714</v>
      </c>
      <c r="P8" s="35">
        <v>7.73</v>
      </c>
      <c r="Q8" s="38">
        <v>2</v>
      </c>
      <c r="R8" s="36">
        <f t="shared" si="10"/>
        <v>15.225119331211136</v>
      </c>
      <c r="S8" s="18">
        <f t="shared" si="11"/>
        <v>0.84009999999999996</v>
      </c>
      <c r="T8" s="18">
        <f t="shared" si="12"/>
        <v>0.10501249999999999</v>
      </c>
      <c r="U8" s="48">
        <f t="shared" si="13"/>
        <v>18.122984562803399</v>
      </c>
      <c r="V8" s="49">
        <f t="shared" si="14"/>
        <v>1.5988278437688093</v>
      </c>
      <c r="W8" s="35">
        <v>7.22</v>
      </c>
      <c r="X8" s="38">
        <v>2.8</v>
      </c>
      <c r="Y8" s="36">
        <f t="shared" si="15"/>
        <v>22.837678996816706</v>
      </c>
      <c r="Z8" s="18">
        <f t="shared" si="16"/>
        <v>0.52926299999999993</v>
      </c>
      <c r="AA8" s="18">
        <f t="shared" si="17"/>
        <v>8.4010000000000001E-2</v>
      </c>
      <c r="AB8" s="48">
        <f t="shared" si="18"/>
        <v>43.149963244770007</v>
      </c>
      <c r="AC8" s="49">
        <f t="shared" si="19"/>
        <v>1.9185934125225714</v>
      </c>
      <c r="AD8" s="35">
        <v>7.68</v>
      </c>
      <c r="AE8" s="38">
        <v>1.9</v>
      </c>
    </row>
    <row r="9" spans="1:31" x14ac:dyDescent="0.3">
      <c r="A9" s="39">
        <f>Datos!A10</f>
        <v>0.7</v>
      </c>
      <c r="B9" s="40">
        <f>Datos!E10</f>
        <v>26.191248685556307</v>
      </c>
      <c r="C9" s="41">
        <f>Datos!B10</f>
        <v>1.0988</v>
      </c>
      <c r="D9" s="36">
        <f t="shared" si="0"/>
        <v>15.714749211333784</v>
      </c>
      <c r="E9" s="18">
        <f t="shared" si="1"/>
        <v>0.5494</v>
      </c>
      <c r="F9" s="18">
        <f t="shared" si="2"/>
        <v>0.13735</v>
      </c>
      <c r="G9" s="48">
        <f t="shared" si="3"/>
        <v>28.603475084335244</v>
      </c>
      <c r="H9" s="49">
        <f t="shared" si="4"/>
        <v>2.158420804176695</v>
      </c>
      <c r="I9" s="35">
        <v>8.94</v>
      </c>
      <c r="J9" s="38">
        <v>3</v>
      </c>
      <c r="K9" s="36">
        <f t="shared" si="5"/>
        <v>19.643436514167231</v>
      </c>
      <c r="L9" s="18">
        <f t="shared" si="6"/>
        <v>0.68674999999999997</v>
      </c>
      <c r="M9" s="18">
        <f t="shared" si="7"/>
        <v>0.10988000000000001</v>
      </c>
      <c r="N9" s="48">
        <f t="shared" si="8"/>
        <v>28.603475084335248</v>
      </c>
      <c r="O9" s="49">
        <f t="shared" si="9"/>
        <v>2.1584208041766955</v>
      </c>
      <c r="P9" s="35">
        <v>6.77</v>
      </c>
      <c r="Q9" s="38">
        <v>3</v>
      </c>
      <c r="R9" s="36">
        <f t="shared" si="10"/>
        <v>13.095624342778153</v>
      </c>
      <c r="S9" s="18">
        <f t="shared" si="11"/>
        <v>1.0988</v>
      </c>
      <c r="T9" s="18">
        <f t="shared" si="12"/>
        <v>0.13735</v>
      </c>
      <c r="U9" s="48">
        <f t="shared" si="13"/>
        <v>11.91811461847302</v>
      </c>
      <c r="V9" s="49">
        <f t="shared" si="14"/>
        <v>1.7986840034805793</v>
      </c>
      <c r="W9" s="35">
        <v>6.58</v>
      </c>
      <c r="X9" s="38">
        <v>4.5</v>
      </c>
      <c r="Y9" s="36">
        <f t="shared" si="15"/>
        <v>19.643436514167231</v>
      </c>
      <c r="Z9" s="18">
        <f t="shared" si="16"/>
        <v>0.69224399999999997</v>
      </c>
      <c r="AA9" s="18">
        <f t="shared" si="17"/>
        <v>0.10988000000000001</v>
      </c>
      <c r="AB9" s="48">
        <f t="shared" si="18"/>
        <v>28.376463377316714</v>
      </c>
      <c r="AC9" s="49">
        <f t="shared" si="19"/>
        <v>2.1584208041766955</v>
      </c>
      <c r="AD9" s="35">
        <v>6.73</v>
      </c>
      <c r="AE9" s="38">
        <v>3</v>
      </c>
    </row>
    <row r="10" spans="1:31" ht="15" customHeight="1" x14ac:dyDescent="0.3">
      <c r="A10" s="42">
        <f>Datos!A11</f>
        <v>1</v>
      </c>
      <c r="B10" s="43">
        <f>Datos!E11</f>
        <v>21.633500290573171</v>
      </c>
      <c r="C10" s="44">
        <f>Datos!B11</f>
        <v>1.5065999999999999</v>
      </c>
      <c r="D10" s="46">
        <f t="shared" si="0"/>
        <v>12.980100174343901</v>
      </c>
      <c r="E10" s="22">
        <f t="shared" si="1"/>
        <v>0.75329999999999997</v>
      </c>
      <c r="F10" s="22">
        <f t="shared" si="2"/>
        <v>0.18832499999999999</v>
      </c>
      <c r="G10" s="50">
        <f t="shared" si="3"/>
        <v>17.230983903284084</v>
      </c>
      <c r="H10" s="51">
        <f t="shared" si="4"/>
        <v>2.4444773653333152</v>
      </c>
      <c r="I10" s="35">
        <v>7.87</v>
      </c>
      <c r="J10" s="38">
        <v>5</v>
      </c>
      <c r="K10" s="46">
        <f t="shared" si="5"/>
        <v>16.225125217929879</v>
      </c>
      <c r="L10" s="22">
        <f t="shared" si="6"/>
        <v>0.94162499999999993</v>
      </c>
      <c r="M10" s="22">
        <f t="shared" si="7"/>
        <v>0.15066000000000002</v>
      </c>
      <c r="N10" s="50">
        <f t="shared" si="8"/>
        <v>17.230983903284088</v>
      </c>
      <c r="O10" s="51">
        <f t="shared" si="9"/>
        <v>2.4444773653333156</v>
      </c>
      <c r="P10" s="35">
        <v>5.94</v>
      </c>
      <c r="Q10" s="38">
        <v>4</v>
      </c>
      <c r="R10" s="46">
        <f t="shared" si="10"/>
        <v>10.816750145286585</v>
      </c>
      <c r="S10" s="22">
        <f t="shared" si="11"/>
        <v>1.5065999999999999</v>
      </c>
      <c r="T10" s="22">
        <f t="shared" si="12"/>
        <v>0.18832499999999999</v>
      </c>
      <c r="U10" s="50">
        <f t="shared" si="13"/>
        <v>7.1795766263683696</v>
      </c>
      <c r="V10" s="51">
        <f t="shared" si="14"/>
        <v>2.0370644711110959</v>
      </c>
      <c r="W10" s="35">
        <v>5.83</v>
      </c>
      <c r="X10" s="38">
        <v>7</v>
      </c>
      <c r="Y10" s="46">
        <f t="shared" si="15"/>
        <v>16.225125217929879</v>
      </c>
      <c r="Z10" s="22">
        <f t="shared" si="16"/>
        <v>0.94915799999999995</v>
      </c>
      <c r="AA10" s="22">
        <f t="shared" si="17"/>
        <v>0.15066000000000002</v>
      </c>
      <c r="AB10" s="50">
        <f t="shared" si="18"/>
        <v>17.094230062781833</v>
      </c>
      <c r="AC10" s="51">
        <f t="shared" si="19"/>
        <v>2.4444773653333156</v>
      </c>
      <c r="AD10" s="35">
        <v>5.91</v>
      </c>
      <c r="AE10" s="38">
        <v>4</v>
      </c>
    </row>
    <row r="12" spans="1:31" ht="27.7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</row>
  </sheetData>
  <mergeCells count="9">
    <mergeCell ref="Y3:AC3"/>
    <mergeCell ref="A12:J12"/>
    <mergeCell ref="A1:W1"/>
    <mergeCell ref="A3:A4"/>
    <mergeCell ref="B3:B4"/>
    <mergeCell ref="C3:C4"/>
    <mergeCell ref="D3:H3"/>
    <mergeCell ref="K3:O3"/>
    <mergeCell ref="R3:V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1"/>
  <sheetViews>
    <sheetView showGridLines="0" tabSelected="1" topLeftCell="A33" zoomScaleNormal="100" workbookViewId="0">
      <selection activeCell="O62" sqref="O62"/>
    </sheetView>
  </sheetViews>
  <sheetFormatPr baseColWidth="10" defaultColWidth="8.6640625" defaultRowHeight="14.4" x14ac:dyDescent="0.3"/>
  <cols>
    <col min="1" max="1" width="22" customWidth="1"/>
    <col min="2" max="2" width="20.77734375" customWidth="1"/>
    <col min="3" max="14" width="12" customWidth="1"/>
  </cols>
  <sheetData>
    <row r="1" spans="1:14" ht="17.399999999999999" x14ac:dyDescent="0.3">
      <c r="A1" s="10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4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x14ac:dyDescent="0.3">
      <c r="A4" s="3" t="s">
        <v>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52" t="s">
        <v>30</v>
      </c>
      <c r="B5" s="52" t="s">
        <v>31</v>
      </c>
      <c r="C5" s="52" t="s">
        <v>21</v>
      </c>
      <c r="D5" s="52" t="s">
        <v>22</v>
      </c>
      <c r="E5" s="52" t="s">
        <v>23</v>
      </c>
      <c r="F5" s="52" t="s">
        <v>24</v>
      </c>
      <c r="G5" s="52" t="s">
        <v>25</v>
      </c>
      <c r="H5" s="52" t="s">
        <v>11</v>
      </c>
      <c r="I5" s="52" t="s">
        <v>32</v>
      </c>
      <c r="J5" s="52" t="s">
        <v>33</v>
      </c>
      <c r="K5" s="52" t="s">
        <v>34</v>
      </c>
      <c r="L5" s="52" t="s">
        <v>35</v>
      </c>
      <c r="M5" s="52" t="s">
        <v>36</v>
      </c>
      <c r="N5" s="52" t="s">
        <v>37</v>
      </c>
    </row>
    <row r="6" spans="1:14" x14ac:dyDescent="0.3">
      <c r="A6" s="53" t="s">
        <v>8</v>
      </c>
      <c r="B6" s="54">
        <f>PI!A5</f>
        <v>0.1</v>
      </c>
      <c r="C6" s="40">
        <f>PI!D5</f>
        <v>33.496650555766912</v>
      </c>
      <c r="D6" s="53" t="s">
        <v>38</v>
      </c>
      <c r="E6" s="53" t="s">
        <v>38</v>
      </c>
      <c r="F6" s="53" t="s">
        <v>38</v>
      </c>
      <c r="G6" s="53" t="s">
        <v>38</v>
      </c>
      <c r="H6" s="55">
        <f>VALUE(PI!E5)</f>
        <v>14.55</v>
      </c>
      <c r="I6" s="55">
        <f>VALUE(PI!F5)</f>
        <v>0.6</v>
      </c>
      <c r="J6" s="53">
        <f t="shared" ref="J6:J11" si="0">RANK(H6,$H$6:$H$11,1)</f>
        <v>2</v>
      </c>
      <c r="K6" s="53">
        <f t="shared" ref="K6:K11" si="1">RANK(I6,$I$6:$I$11,1)</f>
        <v>1</v>
      </c>
      <c r="L6" s="53">
        <f t="shared" ref="L6:L41" si="2">J6+K6</f>
        <v>3</v>
      </c>
      <c r="M6" s="53">
        <f t="shared" ref="M6:M11" si="3">RANK(N6,$N$6:$N$11,1)</f>
        <v>1</v>
      </c>
      <c r="N6" s="53">
        <f t="shared" ref="N6:N41" si="4">L6+H6/1000+I6/100000</f>
        <v>3.0145559999999998</v>
      </c>
    </row>
    <row r="7" spans="1:14" x14ac:dyDescent="0.3">
      <c r="A7" s="53" t="s">
        <v>9</v>
      </c>
      <c r="B7" s="54">
        <f>PI!A5</f>
        <v>0.1</v>
      </c>
      <c r="C7" s="40">
        <f>PI!G5</f>
        <v>30.146985500190222</v>
      </c>
      <c r="D7" s="18">
        <f>PI!H5</f>
        <v>0.24683333333333335</v>
      </c>
      <c r="E7" s="53" t="s">
        <v>38</v>
      </c>
      <c r="F7" s="40">
        <f>PI!I5</f>
        <v>122.13498514594282</v>
      </c>
      <c r="G7" s="53" t="s">
        <v>38</v>
      </c>
      <c r="H7" s="55">
        <f>VALUE(PI!J5)</f>
        <v>37.130000000000003</v>
      </c>
      <c r="I7" s="55">
        <f>VALUE(PI!K5)</f>
        <v>1.2</v>
      </c>
      <c r="J7" s="53">
        <f t="shared" si="0"/>
        <v>6</v>
      </c>
      <c r="K7" s="53">
        <f t="shared" si="1"/>
        <v>5</v>
      </c>
      <c r="L7" s="53">
        <f t="shared" si="2"/>
        <v>11</v>
      </c>
      <c r="M7" s="53">
        <f t="shared" si="3"/>
        <v>6</v>
      </c>
      <c r="N7" s="53">
        <f t="shared" si="4"/>
        <v>11.037141999999999</v>
      </c>
    </row>
    <row r="8" spans="1:14" x14ac:dyDescent="0.3">
      <c r="A8" s="53" t="s">
        <v>39</v>
      </c>
      <c r="B8" s="54">
        <f>PI!A5</f>
        <v>0.1</v>
      </c>
      <c r="C8" s="40">
        <f>PID!D5</f>
        <v>40.195980666920292</v>
      </c>
      <c r="D8" s="18">
        <f>PID!E5</f>
        <v>0.14810000000000001</v>
      </c>
      <c r="E8" s="18">
        <f>PID!F5</f>
        <v>3.7025000000000002E-2</v>
      </c>
      <c r="F8" s="40">
        <f>PID!G5</f>
        <v>271.41107810209513</v>
      </c>
      <c r="G8" s="40">
        <f>PID!H5</f>
        <v>1.488256184192724</v>
      </c>
      <c r="H8" s="55">
        <f>VALUE(PID!I5)</f>
        <v>18.32</v>
      </c>
      <c r="I8" s="55">
        <f>VALUE(PID!J5)</f>
        <v>0.8</v>
      </c>
      <c r="J8" s="53">
        <f t="shared" si="0"/>
        <v>5</v>
      </c>
      <c r="K8" s="53">
        <f t="shared" si="1"/>
        <v>3</v>
      </c>
      <c r="L8" s="53">
        <f t="shared" si="2"/>
        <v>8</v>
      </c>
      <c r="M8" s="53">
        <f t="shared" si="3"/>
        <v>5</v>
      </c>
      <c r="N8" s="53">
        <f t="shared" si="4"/>
        <v>8.0183279999999986</v>
      </c>
    </row>
    <row r="9" spans="1:14" x14ac:dyDescent="0.3">
      <c r="A9" s="53" t="s">
        <v>18</v>
      </c>
      <c r="B9" s="54">
        <f>PI!A5</f>
        <v>0.1</v>
      </c>
      <c r="C9" s="40">
        <f>PID!K5</f>
        <v>50.244975833650372</v>
      </c>
      <c r="D9" s="18">
        <f>PID!L5</f>
        <v>0.18512500000000001</v>
      </c>
      <c r="E9" s="18">
        <f>PID!M5</f>
        <v>2.9620000000000004E-2</v>
      </c>
      <c r="F9" s="40">
        <f>PID!N5</f>
        <v>271.41107810209519</v>
      </c>
      <c r="G9" s="40">
        <f>PID!O5</f>
        <v>1.4882561841927242</v>
      </c>
      <c r="H9" s="55">
        <f>VALUE(PID!P5)</f>
        <v>16.2</v>
      </c>
      <c r="I9" s="55">
        <f>VALUE(PID!Q5)</f>
        <v>0.65</v>
      </c>
      <c r="J9" s="53">
        <f t="shared" si="0"/>
        <v>4</v>
      </c>
      <c r="K9" s="53">
        <f t="shared" si="1"/>
        <v>2</v>
      </c>
      <c r="L9" s="53">
        <f t="shared" si="2"/>
        <v>6</v>
      </c>
      <c r="M9" s="53">
        <f t="shared" si="3"/>
        <v>4</v>
      </c>
      <c r="N9" s="53">
        <f t="shared" si="4"/>
        <v>6.0162065</v>
      </c>
    </row>
    <row r="10" spans="1:14" x14ac:dyDescent="0.3">
      <c r="A10" s="53" t="s">
        <v>19</v>
      </c>
      <c r="B10" s="54">
        <f>PI!A5</f>
        <v>0.1</v>
      </c>
      <c r="C10" s="40">
        <f>PID!R5</f>
        <v>33.496650555766912</v>
      </c>
      <c r="D10" s="18">
        <f>PID!S5</f>
        <v>0.29620000000000002</v>
      </c>
      <c r="E10" s="18">
        <f>PID!T5</f>
        <v>3.7025000000000002E-2</v>
      </c>
      <c r="F10" s="40">
        <f>PID!U5</f>
        <v>113.08794920920631</v>
      </c>
      <c r="G10" s="40">
        <f>PID!V5</f>
        <v>1.2402134868272701</v>
      </c>
      <c r="H10" s="55">
        <f>VALUE(PID!W5)</f>
        <v>11.97</v>
      </c>
      <c r="I10" s="55">
        <f>VALUE(PID!X5)</f>
        <v>1.2</v>
      </c>
      <c r="J10" s="53">
        <f t="shared" si="0"/>
        <v>1</v>
      </c>
      <c r="K10" s="53">
        <f t="shared" si="1"/>
        <v>5</v>
      </c>
      <c r="L10" s="53">
        <f t="shared" si="2"/>
        <v>6</v>
      </c>
      <c r="M10" s="53">
        <f t="shared" si="3"/>
        <v>2</v>
      </c>
      <c r="N10" s="53">
        <f t="shared" si="4"/>
        <v>6.0119819999999997</v>
      </c>
    </row>
    <row r="11" spans="1:14" x14ac:dyDescent="0.3">
      <c r="A11" s="53" t="s">
        <v>20</v>
      </c>
      <c r="B11" s="54">
        <f>PI!A5</f>
        <v>0.1</v>
      </c>
      <c r="C11" s="40">
        <f>PID!Y5</f>
        <v>50.244975833650372</v>
      </c>
      <c r="D11" s="18">
        <f>PID!Z5</f>
        <v>0.18660600000000002</v>
      </c>
      <c r="E11" s="18">
        <f>PID!AA5</f>
        <v>2.9620000000000004E-2</v>
      </c>
      <c r="F11" s="40">
        <f>PID!AB5</f>
        <v>269.25702192668172</v>
      </c>
      <c r="G11" s="40">
        <f>PID!AC5</f>
        <v>1.4882561841927242</v>
      </c>
      <c r="H11" s="55">
        <f>VALUE(PID!AD5)</f>
        <v>16.100000000000001</v>
      </c>
      <c r="I11" s="55">
        <f>VALUE(PID!AE5)</f>
        <v>0.8</v>
      </c>
      <c r="J11" s="53">
        <f t="shared" si="0"/>
        <v>3</v>
      </c>
      <c r="K11" s="53">
        <f t="shared" si="1"/>
        <v>3</v>
      </c>
      <c r="L11" s="53">
        <f t="shared" si="2"/>
        <v>6</v>
      </c>
      <c r="M11" s="53">
        <f t="shared" si="3"/>
        <v>3</v>
      </c>
      <c r="N11" s="53">
        <f t="shared" si="4"/>
        <v>6.016108</v>
      </c>
    </row>
    <row r="12" spans="1:14" x14ac:dyDescent="0.3">
      <c r="A12" s="53" t="s">
        <v>8</v>
      </c>
      <c r="B12" s="54">
        <f>PI!A6</f>
        <v>0.2</v>
      </c>
      <c r="C12" s="40">
        <f>PI!D6</f>
        <v>23.53136386004461</v>
      </c>
      <c r="D12" s="53" t="s">
        <v>38</v>
      </c>
      <c r="E12" s="53" t="s">
        <v>38</v>
      </c>
      <c r="F12" s="53" t="s">
        <v>38</v>
      </c>
      <c r="G12" s="53" t="s">
        <v>38</v>
      </c>
      <c r="H12" s="55">
        <f>VALUE(PI!E6)</f>
        <v>8.0500000000000007</v>
      </c>
      <c r="I12" s="55">
        <f>VALUE(PI!F6)</f>
        <v>0.6</v>
      </c>
      <c r="J12" s="53">
        <f t="shared" ref="J12:J17" si="5">RANK(H12,$H$12:$H$17,1)</f>
        <v>1</v>
      </c>
      <c r="K12" s="53">
        <f t="shared" ref="K12:K17" si="6">RANK(I12,$I$12:$I$17,1)</f>
        <v>1</v>
      </c>
      <c r="L12" s="53">
        <f t="shared" si="2"/>
        <v>2</v>
      </c>
      <c r="M12" s="53">
        <f t="shared" ref="M12:M17" si="7">RANK(N12,$N$12:$N$17,1)</f>
        <v>1</v>
      </c>
      <c r="N12" s="53">
        <f t="shared" si="4"/>
        <v>2.0080559999999998</v>
      </c>
    </row>
    <row r="13" spans="1:14" x14ac:dyDescent="0.3">
      <c r="A13" s="53" t="s">
        <v>9</v>
      </c>
      <c r="B13" s="54">
        <f>PI!A6</f>
        <v>0.2</v>
      </c>
      <c r="C13" s="40">
        <f>PI!G6</f>
        <v>21.178227474040149</v>
      </c>
      <c r="D13" s="18">
        <f>PI!H6</f>
        <v>0.36633333333333334</v>
      </c>
      <c r="E13" s="53" t="s">
        <v>38</v>
      </c>
      <c r="F13" s="40">
        <f>PI!I6</f>
        <v>57.811357981911236</v>
      </c>
      <c r="G13" s="53" t="s">
        <v>38</v>
      </c>
      <c r="H13" s="55">
        <f>VALUE(PI!J6)</f>
        <v>26.89</v>
      </c>
      <c r="I13" s="55">
        <f>VALUE(PI!K6)</f>
        <v>1.8</v>
      </c>
      <c r="J13" s="53">
        <f t="shared" si="5"/>
        <v>6</v>
      </c>
      <c r="K13" s="53">
        <f t="shared" si="6"/>
        <v>5</v>
      </c>
      <c r="L13" s="53">
        <f t="shared" si="2"/>
        <v>11</v>
      </c>
      <c r="M13" s="53">
        <f t="shared" si="7"/>
        <v>6</v>
      </c>
      <c r="N13" s="53">
        <f t="shared" si="4"/>
        <v>11.026908000000001</v>
      </c>
    </row>
    <row r="14" spans="1:14" x14ac:dyDescent="0.3">
      <c r="A14" s="53" t="s">
        <v>39</v>
      </c>
      <c r="B14" s="54">
        <f>PI!A6</f>
        <v>0.2</v>
      </c>
      <c r="C14" s="40">
        <f>PID!D6</f>
        <v>28.237636632053533</v>
      </c>
      <c r="D14" s="18">
        <f>PID!E6</f>
        <v>0.2198</v>
      </c>
      <c r="E14" s="18">
        <f>PID!F6</f>
        <v>5.4949999999999999E-2</v>
      </c>
      <c r="F14" s="40">
        <f>PID!G6</f>
        <v>128.4696844042472</v>
      </c>
      <c r="G14" s="40">
        <f>PID!H6</f>
        <v>1.5516581329313417</v>
      </c>
      <c r="H14" s="55">
        <f>VALUE(PID!I6)</f>
        <v>14.04</v>
      </c>
      <c r="I14" s="55">
        <f>VALUE(PID!J6)</f>
        <v>1.3</v>
      </c>
      <c r="J14" s="53">
        <f t="shared" si="5"/>
        <v>5</v>
      </c>
      <c r="K14" s="53">
        <f t="shared" si="6"/>
        <v>4</v>
      </c>
      <c r="L14" s="53">
        <f t="shared" si="2"/>
        <v>9</v>
      </c>
      <c r="M14" s="53">
        <f t="shared" si="7"/>
        <v>5</v>
      </c>
      <c r="N14" s="53">
        <f t="shared" si="4"/>
        <v>9.0140529999999988</v>
      </c>
    </row>
    <row r="15" spans="1:14" x14ac:dyDescent="0.3">
      <c r="A15" s="53" t="s">
        <v>18</v>
      </c>
      <c r="B15" s="54">
        <f>PI!A6</f>
        <v>0.2</v>
      </c>
      <c r="C15" s="40">
        <f>PID!K6</f>
        <v>35.297045790066917</v>
      </c>
      <c r="D15" s="18">
        <f>PID!L6</f>
        <v>0.27474999999999999</v>
      </c>
      <c r="E15" s="18">
        <f>PID!M6</f>
        <v>4.3959999999999999E-2</v>
      </c>
      <c r="F15" s="40">
        <f>PID!N6</f>
        <v>128.4696844042472</v>
      </c>
      <c r="G15" s="40">
        <f>PID!O6</f>
        <v>1.5516581329313417</v>
      </c>
      <c r="H15" s="55">
        <f>VALUE(PID!P6)</f>
        <v>11.02</v>
      </c>
      <c r="I15" s="55">
        <f>VALUE(PID!Q6)</f>
        <v>1.1000000000000001</v>
      </c>
      <c r="J15" s="53">
        <f t="shared" si="5"/>
        <v>4</v>
      </c>
      <c r="K15" s="53">
        <f t="shared" si="6"/>
        <v>3</v>
      </c>
      <c r="L15" s="53">
        <f t="shared" si="2"/>
        <v>7</v>
      </c>
      <c r="M15" s="53">
        <f t="shared" si="7"/>
        <v>4</v>
      </c>
      <c r="N15" s="53">
        <f t="shared" si="4"/>
        <v>7.011031</v>
      </c>
    </row>
    <row r="16" spans="1:14" x14ac:dyDescent="0.3">
      <c r="A16" s="53" t="s">
        <v>19</v>
      </c>
      <c r="B16" s="54">
        <f>PI!A6</f>
        <v>0.2</v>
      </c>
      <c r="C16" s="40">
        <f>PID!R6</f>
        <v>23.53136386004461</v>
      </c>
      <c r="D16" s="18">
        <f>PID!S6</f>
        <v>0.43959999999999999</v>
      </c>
      <c r="E16" s="18">
        <f>PID!T6</f>
        <v>5.4949999999999999E-2</v>
      </c>
      <c r="F16" s="40">
        <f>PID!U6</f>
        <v>53.52903516843633</v>
      </c>
      <c r="G16" s="40">
        <f>PID!V6</f>
        <v>1.2930484441094514</v>
      </c>
      <c r="H16" s="55">
        <f>VALUE(PID!W6)</f>
        <v>9.81</v>
      </c>
      <c r="I16" s="55">
        <f>VALUE(PID!X6)</f>
        <v>1.8</v>
      </c>
      <c r="J16" s="53">
        <f t="shared" si="5"/>
        <v>2</v>
      </c>
      <c r="K16" s="53">
        <f t="shared" si="6"/>
        <v>5</v>
      </c>
      <c r="L16" s="53">
        <f t="shared" si="2"/>
        <v>7</v>
      </c>
      <c r="M16" s="53">
        <f t="shared" si="7"/>
        <v>3</v>
      </c>
      <c r="N16" s="53">
        <f t="shared" si="4"/>
        <v>7.0098279999999997</v>
      </c>
    </row>
    <row r="17" spans="1:14" x14ac:dyDescent="0.3">
      <c r="A17" s="53" t="s">
        <v>20</v>
      </c>
      <c r="B17" s="54">
        <f>PI!A6</f>
        <v>0.2</v>
      </c>
      <c r="C17" s="40">
        <f>PID!Y6</f>
        <v>35.297045790066917</v>
      </c>
      <c r="D17" s="18">
        <f>PID!Z6</f>
        <v>0.27694799999999997</v>
      </c>
      <c r="E17" s="18">
        <f>PID!AA6</f>
        <v>4.3959999999999999E-2</v>
      </c>
      <c r="F17" s="40">
        <f>PID!AB6</f>
        <v>127.45008373437223</v>
      </c>
      <c r="G17" s="40">
        <f>PID!AC6</f>
        <v>1.5516581329313417</v>
      </c>
      <c r="H17" s="55">
        <f>VALUE(PID!AD6)</f>
        <v>10.95</v>
      </c>
      <c r="I17" s="55">
        <f>VALUE(PID!AE6)</f>
        <v>1</v>
      </c>
      <c r="J17" s="53">
        <f t="shared" si="5"/>
        <v>3</v>
      </c>
      <c r="K17" s="53">
        <f t="shared" si="6"/>
        <v>2</v>
      </c>
      <c r="L17" s="53">
        <f t="shared" si="2"/>
        <v>5</v>
      </c>
      <c r="M17" s="53">
        <f t="shared" si="7"/>
        <v>2</v>
      </c>
      <c r="N17" s="53">
        <f t="shared" si="4"/>
        <v>5.0109599999999999</v>
      </c>
    </row>
    <row r="18" spans="1:14" x14ac:dyDescent="0.3">
      <c r="A18" s="53" t="s">
        <v>8</v>
      </c>
      <c r="B18" s="54">
        <f>PI!A7</f>
        <v>0.3</v>
      </c>
      <c r="C18" s="40">
        <f>PI!D7</f>
        <v>19.335648888051811</v>
      </c>
      <c r="D18" s="53" t="s">
        <v>38</v>
      </c>
      <c r="E18" s="53" t="s">
        <v>38</v>
      </c>
      <c r="F18" s="53" t="s">
        <v>38</v>
      </c>
      <c r="G18" s="53" t="s">
        <v>38</v>
      </c>
      <c r="H18" s="55">
        <f>VALUE(PI!E7)</f>
        <v>4.9800000000000004</v>
      </c>
      <c r="I18" s="55">
        <f>VALUE(PI!F7)</f>
        <v>0.7</v>
      </c>
      <c r="J18" s="53">
        <f t="shared" ref="J18:J23" si="8">RANK(H18,$H$18:$H$23,1)</f>
        <v>1</v>
      </c>
      <c r="K18" s="53">
        <f t="shared" ref="K18:K23" si="9">RANK(I18,$I$18:$I$23,1)</f>
        <v>1</v>
      </c>
      <c r="L18" s="53">
        <f t="shared" si="2"/>
        <v>2</v>
      </c>
      <c r="M18" s="53">
        <f t="shared" ref="M18:M23" si="10">RANK(N18,$N$18:$N$23,1)</f>
        <v>1</v>
      </c>
      <c r="N18" s="53">
        <f t="shared" si="4"/>
        <v>2.0049870000000003</v>
      </c>
    </row>
    <row r="19" spans="1:14" x14ac:dyDescent="0.3">
      <c r="A19" s="53" t="s">
        <v>9</v>
      </c>
      <c r="B19" s="54">
        <f>PI!A7</f>
        <v>0.3</v>
      </c>
      <c r="C19" s="40">
        <f>PI!G7</f>
        <v>17.402083999246631</v>
      </c>
      <c r="D19" s="18">
        <f>PI!H7</f>
        <v>0.48050000000000004</v>
      </c>
      <c r="E19" s="53" t="s">
        <v>38</v>
      </c>
      <c r="F19" s="40">
        <f>PI!I7</f>
        <v>36.216616023406097</v>
      </c>
      <c r="G19" s="53" t="s">
        <v>38</v>
      </c>
      <c r="H19" s="55">
        <f>VALUE(PI!J7)</f>
        <v>21.45</v>
      </c>
      <c r="I19" s="55">
        <f>VALUE(PI!K7)</f>
        <v>2.4</v>
      </c>
      <c r="J19" s="53">
        <f t="shared" si="8"/>
        <v>6</v>
      </c>
      <c r="K19" s="53">
        <f t="shared" si="9"/>
        <v>5</v>
      </c>
      <c r="L19" s="53">
        <f t="shared" si="2"/>
        <v>11</v>
      </c>
      <c r="M19" s="53">
        <f t="shared" si="10"/>
        <v>6</v>
      </c>
      <c r="N19" s="53">
        <f t="shared" si="4"/>
        <v>11.021474</v>
      </c>
    </row>
    <row r="20" spans="1:14" x14ac:dyDescent="0.3">
      <c r="A20" s="53" t="s">
        <v>39</v>
      </c>
      <c r="B20" s="54">
        <f>PI!A7</f>
        <v>0.3</v>
      </c>
      <c r="C20" s="40">
        <f>PID!D7</f>
        <v>23.202778665662173</v>
      </c>
      <c r="D20" s="18">
        <f>PID!E7</f>
        <v>0.2883</v>
      </c>
      <c r="E20" s="18">
        <f>PID!F7</f>
        <v>7.2075E-2</v>
      </c>
      <c r="F20" s="40">
        <f>PID!G7</f>
        <v>80.481368940902442</v>
      </c>
      <c r="G20" s="40">
        <f>PID!H7</f>
        <v>1.6723402723276011</v>
      </c>
      <c r="H20" s="55">
        <f>VALUE(PID!I7)</f>
        <v>12.17</v>
      </c>
      <c r="I20" s="55">
        <f>VALUE(PID!J7)</f>
        <v>1.8</v>
      </c>
      <c r="J20" s="53">
        <f t="shared" si="8"/>
        <v>5</v>
      </c>
      <c r="K20" s="53">
        <f t="shared" si="9"/>
        <v>4</v>
      </c>
      <c r="L20" s="53">
        <f t="shared" si="2"/>
        <v>9</v>
      </c>
      <c r="M20" s="53">
        <f t="shared" si="10"/>
        <v>5</v>
      </c>
      <c r="N20" s="53">
        <f t="shared" si="4"/>
        <v>9.0121880000000001</v>
      </c>
    </row>
    <row r="21" spans="1:14" x14ac:dyDescent="0.3">
      <c r="A21" s="53" t="s">
        <v>18</v>
      </c>
      <c r="B21" s="54">
        <f>PI!A7</f>
        <v>0.3</v>
      </c>
      <c r="C21" s="40">
        <f>PID!K7</f>
        <v>29.003473332077718</v>
      </c>
      <c r="D21" s="18">
        <f>PID!L7</f>
        <v>0.360375</v>
      </c>
      <c r="E21" s="18">
        <f>PID!M7</f>
        <v>5.7660000000000003E-2</v>
      </c>
      <c r="F21" s="40">
        <f>PID!N7</f>
        <v>80.481368940902442</v>
      </c>
      <c r="G21" s="40">
        <f>PID!O7</f>
        <v>1.6723402723276013</v>
      </c>
      <c r="H21" s="55">
        <f>VALUE(PID!P7)</f>
        <v>9.36</v>
      </c>
      <c r="I21" s="55">
        <f>VALUE(PID!Q7)</f>
        <v>1.6</v>
      </c>
      <c r="J21" s="53">
        <f t="shared" si="8"/>
        <v>4</v>
      </c>
      <c r="K21" s="53">
        <f t="shared" si="9"/>
        <v>3</v>
      </c>
      <c r="L21" s="53">
        <f t="shared" si="2"/>
        <v>7</v>
      </c>
      <c r="M21" s="53">
        <f t="shared" si="10"/>
        <v>4</v>
      </c>
      <c r="N21" s="53">
        <f t="shared" si="4"/>
        <v>7.0093759999999996</v>
      </c>
    </row>
    <row r="22" spans="1:14" x14ac:dyDescent="0.3">
      <c r="A22" s="53" t="s">
        <v>19</v>
      </c>
      <c r="B22" s="54">
        <f>PI!A7</f>
        <v>0.3</v>
      </c>
      <c r="C22" s="40">
        <f>PID!R7</f>
        <v>19.335648888051811</v>
      </c>
      <c r="D22" s="18">
        <f>PID!S7</f>
        <v>0.5766</v>
      </c>
      <c r="E22" s="18">
        <f>PID!T7</f>
        <v>7.2075E-2</v>
      </c>
      <c r="F22" s="40">
        <f>PID!U7</f>
        <v>33.533903725376014</v>
      </c>
      <c r="G22" s="40">
        <f>PID!V7</f>
        <v>1.3936168936063342</v>
      </c>
      <c r="H22" s="55">
        <f>VALUE(PID!W7)</f>
        <v>8.67</v>
      </c>
      <c r="I22" s="55">
        <f>VALUE(PID!X7)</f>
        <v>2.4</v>
      </c>
      <c r="J22" s="53">
        <f t="shared" si="8"/>
        <v>2</v>
      </c>
      <c r="K22" s="53">
        <f t="shared" si="9"/>
        <v>5</v>
      </c>
      <c r="L22" s="53">
        <f t="shared" si="2"/>
        <v>7</v>
      </c>
      <c r="M22" s="53">
        <f t="shared" si="10"/>
        <v>3</v>
      </c>
      <c r="N22" s="53">
        <f t="shared" si="4"/>
        <v>7.0086940000000002</v>
      </c>
    </row>
    <row r="23" spans="1:14" x14ac:dyDescent="0.3">
      <c r="A23" s="53" t="s">
        <v>20</v>
      </c>
      <c r="B23" s="54">
        <f>PI!A7</f>
        <v>0.3</v>
      </c>
      <c r="C23" s="40">
        <f>PID!Y7</f>
        <v>29.003473332077718</v>
      </c>
      <c r="D23" s="18">
        <f>PID!Z7</f>
        <v>0.36325800000000003</v>
      </c>
      <c r="E23" s="18">
        <f>PID!AA7</f>
        <v>5.7660000000000003E-2</v>
      </c>
      <c r="F23" s="40">
        <f>PID!AB7</f>
        <v>79.842627917561941</v>
      </c>
      <c r="G23" s="40">
        <f>PID!AC7</f>
        <v>1.6723402723276013</v>
      </c>
      <c r="H23" s="55">
        <f>VALUE(PID!AD7)</f>
        <v>9.3000000000000007</v>
      </c>
      <c r="I23" s="55">
        <f>VALUE(PID!AE7)</f>
        <v>1.5</v>
      </c>
      <c r="J23" s="53">
        <f t="shared" si="8"/>
        <v>3</v>
      </c>
      <c r="K23" s="53">
        <f t="shared" si="9"/>
        <v>2</v>
      </c>
      <c r="L23" s="53">
        <f t="shared" si="2"/>
        <v>5</v>
      </c>
      <c r="M23" s="53">
        <f t="shared" si="10"/>
        <v>2</v>
      </c>
      <c r="N23" s="53">
        <f t="shared" si="4"/>
        <v>5.009315</v>
      </c>
    </row>
    <row r="24" spans="1:14" x14ac:dyDescent="0.3">
      <c r="A24" s="53" t="s">
        <v>8</v>
      </c>
      <c r="B24" s="54">
        <f>PI!A8</f>
        <v>0.5</v>
      </c>
      <c r="C24" s="40">
        <f>PI!D8</f>
        <v>15.225119331211136</v>
      </c>
      <c r="D24" s="53" t="s">
        <v>38</v>
      </c>
      <c r="E24" s="53" t="s">
        <v>38</v>
      </c>
      <c r="F24" s="53" t="s">
        <v>38</v>
      </c>
      <c r="G24" s="53" t="s">
        <v>38</v>
      </c>
      <c r="H24" s="55">
        <f>VALUE(PI!E8)</f>
        <v>2.0099999999999998</v>
      </c>
      <c r="I24" s="55">
        <f>VALUE(PI!F8)</f>
        <v>0.6</v>
      </c>
      <c r="J24" s="53">
        <f t="shared" ref="J24:J29" si="11">RANK(H24,$H$24:$H$29,1)</f>
        <v>1</v>
      </c>
      <c r="K24" s="53">
        <f t="shared" ref="K24:K29" si="12">RANK(I24,$I$24:$I$29,1)</f>
        <v>1</v>
      </c>
      <c r="L24" s="53">
        <f t="shared" si="2"/>
        <v>2</v>
      </c>
      <c r="M24" s="53">
        <f t="shared" ref="M24:M29" si="13">RANK(N24,$N$24:$N$29,1)</f>
        <v>1</v>
      </c>
      <c r="N24" s="53">
        <f t="shared" si="4"/>
        <v>2.0020159999999998</v>
      </c>
    </row>
    <row r="25" spans="1:14" x14ac:dyDescent="0.3">
      <c r="A25" s="53" t="s">
        <v>9</v>
      </c>
      <c r="B25" s="54">
        <f>PI!A8</f>
        <v>0.5</v>
      </c>
      <c r="C25" s="40">
        <f>PI!G8</f>
        <v>13.702607398090024</v>
      </c>
      <c r="D25" s="18">
        <f>PI!H8</f>
        <v>0.70008333333333328</v>
      </c>
      <c r="E25" s="53" t="s">
        <v>38</v>
      </c>
      <c r="F25" s="40">
        <f>PI!I8</f>
        <v>19.572823327827674</v>
      </c>
      <c r="G25" s="53" t="s">
        <v>38</v>
      </c>
      <c r="H25" s="55">
        <f>VALUE(PI!J8)</f>
        <v>15.71</v>
      </c>
      <c r="I25" s="55">
        <f>VALUE(PI!K8)</f>
        <v>2.8</v>
      </c>
      <c r="J25" s="53">
        <f t="shared" si="11"/>
        <v>6</v>
      </c>
      <c r="K25" s="53">
        <f t="shared" si="12"/>
        <v>5</v>
      </c>
      <c r="L25" s="53">
        <f t="shared" si="2"/>
        <v>11</v>
      </c>
      <c r="M25" s="53">
        <f t="shared" si="13"/>
        <v>6</v>
      </c>
      <c r="N25" s="53">
        <f t="shared" si="4"/>
        <v>11.015738000000001</v>
      </c>
    </row>
    <row r="26" spans="1:14" x14ac:dyDescent="0.3">
      <c r="A26" s="53" t="s">
        <v>39</v>
      </c>
      <c r="B26" s="54">
        <f>PI!A8</f>
        <v>0.5</v>
      </c>
      <c r="C26" s="40">
        <f>PID!D8</f>
        <v>18.270143197453361</v>
      </c>
      <c r="D26" s="18">
        <f>PID!E8</f>
        <v>0.42004999999999998</v>
      </c>
      <c r="E26" s="18">
        <f>PID!F8</f>
        <v>0.10501249999999999</v>
      </c>
      <c r="F26" s="40">
        <f>PID!G8</f>
        <v>43.495162950728158</v>
      </c>
      <c r="G26" s="40">
        <f>PID!H8</f>
        <v>1.918593412522571</v>
      </c>
      <c r="H26" s="55">
        <f>VALUE(PID!I8)</f>
        <v>10.14</v>
      </c>
      <c r="I26" s="55">
        <f>VALUE(PID!J8)</f>
        <v>1.6</v>
      </c>
      <c r="J26" s="53">
        <f t="shared" si="11"/>
        <v>5</v>
      </c>
      <c r="K26" s="53">
        <f t="shared" si="12"/>
        <v>2</v>
      </c>
      <c r="L26" s="53">
        <f t="shared" si="2"/>
        <v>7</v>
      </c>
      <c r="M26" s="53">
        <f t="shared" si="13"/>
        <v>4</v>
      </c>
      <c r="N26" s="53">
        <f t="shared" si="4"/>
        <v>7.0101559999999994</v>
      </c>
    </row>
    <row r="27" spans="1:14" x14ac:dyDescent="0.3">
      <c r="A27" s="53" t="s">
        <v>18</v>
      </c>
      <c r="B27" s="54">
        <f>PI!A8</f>
        <v>0.5</v>
      </c>
      <c r="C27" s="40">
        <f>PID!K8</f>
        <v>22.837678996816706</v>
      </c>
      <c r="D27" s="18">
        <f>PID!L8</f>
        <v>0.52506249999999999</v>
      </c>
      <c r="E27" s="18">
        <f>PID!M8</f>
        <v>8.4010000000000001E-2</v>
      </c>
      <c r="F27" s="40">
        <f>PID!N8</f>
        <v>43.495162950728165</v>
      </c>
      <c r="G27" s="40">
        <f>PID!O8</f>
        <v>1.9185934125225714</v>
      </c>
      <c r="H27" s="55">
        <f>VALUE(PID!P8)</f>
        <v>7.73</v>
      </c>
      <c r="I27" s="55">
        <f>VALUE(PID!Q8)</f>
        <v>2</v>
      </c>
      <c r="J27" s="53">
        <f t="shared" si="11"/>
        <v>4</v>
      </c>
      <c r="K27" s="53">
        <f t="shared" si="12"/>
        <v>4</v>
      </c>
      <c r="L27" s="53">
        <f t="shared" si="2"/>
        <v>8</v>
      </c>
      <c r="M27" s="53">
        <f t="shared" si="13"/>
        <v>5</v>
      </c>
      <c r="N27" s="53">
        <f t="shared" si="4"/>
        <v>8.0077499999999997</v>
      </c>
    </row>
    <row r="28" spans="1:14" x14ac:dyDescent="0.3">
      <c r="A28" s="53" t="s">
        <v>19</v>
      </c>
      <c r="B28" s="54">
        <f>PI!A8</f>
        <v>0.5</v>
      </c>
      <c r="C28" s="40">
        <f>PID!R8</f>
        <v>15.225119331211136</v>
      </c>
      <c r="D28" s="18">
        <f>PID!S8</f>
        <v>0.84009999999999996</v>
      </c>
      <c r="E28" s="18">
        <f>PID!T8</f>
        <v>0.10501249999999999</v>
      </c>
      <c r="F28" s="40">
        <f>PID!U8</f>
        <v>18.122984562803399</v>
      </c>
      <c r="G28" s="40">
        <f>PID!V8</f>
        <v>1.5988278437688093</v>
      </c>
      <c r="H28" s="55">
        <f>VALUE(PID!W8)</f>
        <v>7.22</v>
      </c>
      <c r="I28" s="55">
        <f>VALUE(PID!X8)</f>
        <v>2.8</v>
      </c>
      <c r="J28" s="53">
        <f t="shared" si="11"/>
        <v>2</v>
      </c>
      <c r="K28" s="53">
        <f t="shared" si="12"/>
        <v>5</v>
      </c>
      <c r="L28" s="53">
        <f t="shared" si="2"/>
        <v>7</v>
      </c>
      <c r="M28" s="53">
        <f t="shared" si="13"/>
        <v>3</v>
      </c>
      <c r="N28" s="53">
        <f t="shared" si="4"/>
        <v>7.0072480000000006</v>
      </c>
    </row>
    <row r="29" spans="1:14" x14ac:dyDescent="0.3">
      <c r="A29" s="53" t="s">
        <v>20</v>
      </c>
      <c r="B29" s="54">
        <f>PI!A8</f>
        <v>0.5</v>
      </c>
      <c r="C29" s="40">
        <f>PID!Y8</f>
        <v>22.837678996816706</v>
      </c>
      <c r="D29" s="18">
        <f>PID!Z8</f>
        <v>0.52926299999999993</v>
      </c>
      <c r="E29" s="18">
        <f>PID!AA8</f>
        <v>8.4010000000000001E-2</v>
      </c>
      <c r="F29" s="40">
        <f>PID!AB8</f>
        <v>43.149963244770007</v>
      </c>
      <c r="G29" s="40">
        <f>PID!AC8</f>
        <v>1.9185934125225714</v>
      </c>
      <c r="H29" s="55">
        <f>VALUE(PID!AD8)</f>
        <v>7.68</v>
      </c>
      <c r="I29" s="55">
        <f>VALUE(PID!AE8)</f>
        <v>1.9</v>
      </c>
      <c r="J29" s="53">
        <f t="shared" si="11"/>
        <v>3</v>
      </c>
      <c r="K29" s="53">
        <f t="shared" si="12"/>
        <v>3</v>
      </c>
      <c r="L29" s="53">
        <f t="shared" si="2"/>
        <v>6</v>
      </c>
      <c r="M29" s="53">
        <f t="shared" si="13"/>
        <v>2</v>
      </c>
      <c r="N29" s="53">
        <f t="shared" si="4"/>
        <v>6.0076989999999997</v>
      </c>
    </row>
    <row r="30" spans="1:14" x14ac:dyDescent="0.3">
      <c r="A30" s="53" t="s">
        <v>8</v>
      </c>
      <c r="B30" s="54">
        <f>PI!A9</f>
        <v>0.7</v>
      </c>
      <c r="C30" s="40">
        <f>PI!D9</f>
        <v>13.095624342778153</v>
      </c>
      <c r="D30" s="53" t="s">
        <v>38</v>
      </c>
      <c r="E30" s="53" t="s">
        <v>38</v>
      </c>
      <c r="F30" s="53" t="s">
        <v>38</v>
      </c>
      <c r="G30" s="53" t="s">
        <v>38</v>
      </c>
      <c r="H30" s="55">
        <f>VALUE(PI!E9)</f>
        <v>0.77</v>
      </c>
      <c r="I30" s="55">
        <f>VALUE(PI!F9)</f>
        <v>0.6</v>
      </c>
      <c r="J30" s="53">
        <f t="shared" ref="J30:J35" si="14">RANK(H30,$H$30:$H$35,1)</f>
        <v>1</v>
      </c>
      <c r="K30" s="53">
        <f t="shared" ref="K30:K35" si="15">RANK(I30,$I$30:$I$35,1)</f>
        <v>1</v>
      </c>
      <c r="L30" s="53">
        <f t="shared" si="2"/>
        <v>2</v>
      </c>
      <c r="M30" s="53">
        <f t="shared" ref="M30:M35" si="16">RANK(N30,$N$30:$N$35,1)</f>
        <v>1</v>
      </c>
      <c r="N30" s="53">
        <f t="shared" si="4"/>
        <v>2.0007760000000001</v>
      </c>
    </row>
    <row r="31" spans="1:14" x14ac:dyDescent="0.3">
      <c r="A31" s="53" t="s">
        <v>9</v>
      </c>
      <c r="B31" s="54">
        <f>PI!A9</f>
        <v>0.7</v>
      </c>
      <c r="C31" s="40">
        <f>PI!G9</f>
        <v>11.786061908500338</v>
      </c>
      <c r="D31" s="18">
        <f>PI!H9</f>
        <v>0.91566666666666674</v>
      </c>
      <c r="E31" s="53" t="s">
        <v>38</v>
      </c>
      <c r="F31" s="40">
        <f>PI!I9</f>
        <v>12.87156378795086</v>
      </c>
      <c r="G31" s="53" t="s">
        <v>38</v>
      </c>
      <c r="H31" s="55">
        <f>VALUE(PI!J9)</f>
        <v>12.96</v>
      </c>
      <c r="I31" s="55">
        <f>VALUE(PI!K9)</f>
        <v>4.5</v>
      </c>
      <c r="J31" s="53">
        <f t="shared" si="14"/>
        <v>6</v>
      </c>
      <c r="K31" s="53">
        <f t="shared" si="15"/>
        <v>5</v>
      </c>
      <c r="L31" s="53">
        <f t="shared" si="2"/>
        <v>11</v>
      </c>
      <c r="M31" s="53">
        <f t="shared" si="16"/>
        <v>6</v>
      </c>
      <c r="N31" s="53">
        <f t="shared" si="4"/>
        <v>11.013005</v>
      </c>
    </row>
    <row r="32" spans="1:14" x14ac:dyDescent="0.3">
      <c r="A32" s="53" t="s">
        <v>39</v>
      </c>
      <c r="B32" s="54">
        <f>PI!A9</f>
        <v>0.7</v>
      </c>
      <c r="C32" s="40">
        <f>PID!D9</f>
        <v>15.714749211333784</v>
      </c>
      <c r="D32" s="18">
        <f>PID!E9</f>
        <v>0.5494</v>
      </c>
      <c r="E32" s="18">
        <f>PID!F9</f>
        <v>0.13735</v>
      </c>
      <c r="F32" s="40">
        <f>PID!G9</f>
        <v>28.603475084335244</v>
      </c>
      <c r="G32" s="40">
        <f>PID!H9</f>
        <v>2.158420804176695</v>
      </c>
      <c r="H32" s="55">
        <f>VALUE(PID!I9)</f>
        <v>8.94</v>
      </c>
      <c r="I32" s="55">
        <f>VALUE(PID!J9)</f>
        <v>3</v>
      </c>
      <c r="J32" s="53">
        <f t="shared" si="14"/>
        <v>5</v>
      </c>
      <c r="K32" s="53">
        <f t="shared" si="15"/>
        <v>2</v>
      </c>
      <c r="L32" s="53">
        <f t="shared" si="2"/>
        <v>7</v>
      </c>
      <c r="M32" s="53">
        <f t="shared" si="16"/>
        <v>5</v>
      </c>
      <c r="N32" s="53">
        <f t="shared" si="4"/>
        <v>7.0089699999999997</v>
      </c>
    </row>
    <row r="33" spans="1:14" x14ac:dyDescent="0.3">
      <c r="A33" s="53" t="s">
        <v>18</v>
      </c>
      <c r="B33" s="54">
        <f>PI!A9</f>
        <v>0.7</v>
      </c>
      <c r="C33" s="40">
        <f>PID!K9</f>
        <v>19.643436514167231</v>
      </c>
      <c r="D33" s="18">
        <f>PID!L9</f>
        <v>0.68674999999999997</v>
      </c>
      <c r="E33" s="18">
        <f>PID!M9</f>
        <v>0.10988000000000001</v>
      </c>
      <c r="F33" s="40">
        <f>PID!N9</f>
        <v>28.603475084335248</v>
      </c>
      <c r="G33" s="40">
        <f>PID!O9</f>
        <v>2.1584208041766955</v>
      </c>
      <c r="H33" s="55">
        <f>VALUE(PID!P9)</f>
        <v>6.77</v>
      </c>
      <c r="I33" s="55">
        <f>VALUE(PID!Q9)</f>
        <v>3</v>
      </c>
      <c r="J33" s="53">
        <f t="shared" si="14"/>
        <v>4</v>
      </c>
      <c r="K33" s="53">
        <f t="shared" si="15"/>
        <v>2</v>
      </c>
      <c r="L33" s="53">
        <f t="shared" si="2"/>
        <v>6</v>
      </c>
      <c r="M33" s="53">
        <f t="shared" si="16"/>
        <v>3</v>
      </c>
      <c r="N33" s="53">
        <f t="shared" si="4"/>
        <v>6.0068000000000001</v>
      </c>
    </row>
    <row r="34" spans="1:14" x14ac:dyDescent="0.3">
      <c r="A34" s="53" t="s">
        <v>19</v>
      </c>
      <c r="B34" s="54">
        <f>PI!A9</f>
        <v>0.7</v>
      </c>
      <c r="C34" s="40">
        <f>PID!R9</f>
        <v>13.095624342778153</v>
      </c>
      <c r="D34" s="18">
        <f>PID!S9</f>
        <v>1.0988</v>
      </c>
      <c r="E34" s="18">
        <f>PID!T9</f>
        <v>0.13735</v>
      </c>
      <c r="F34" s="40">
        <f>PID!U9</f>
        <v>11.91811461847302</v>
      </c>
      <c r="G34" s="40">
        <f>PID!V9</f>
        <v>1.7986840034805793</v>
      </c>
      <c r="H34" s="55">
        <f>VALUE(PID!W9)</f>
        <v>6.58</v>
      </c>
      <c r="I34" s="55">
        <f>VALUE(PID!X9)</f>
        <v>4.5</v>
      </c>
      <c r="J34" s="53">
        <f t="shared" si="14"/>
        <v>2</v>
      </c>
      <c r="K34" s="53">
        <f t="shared" si="15"/>
        <v>5</v>
      </c>
      <c r="L34" s="53">
        <f t="shared" si="2"/>
        <v>7</v>
      </c>
      <c r="M34" s="53">
        <f t="shared" si="16"/>
        <v>4</v>
      </c>
      <c r="N34" s="53">
        <f t="shared" si="4"/>
        <v>7.0066249999999997</v>
      </c>
    </row>
    <row r="35" spans="1:14" x14ac:dyDescent="0.3">
      <c r="A35" s="53" t="s">
        <v>20</v>
      </c>
      <c r="B35" s="54">
        <f>PI!A9</f>
        <v>0.7</v>
      </c>
      <c r="C35" s="40">
        <f>PID!Y9</f>
        <v>19.643436514167231</v>
      </c>
      <c r="D35" s="18">
        <f>PID!Z9</f>
        <v>0.69224399999999997</v>
      </c>
      <c r="E35" s="18">
        <f>PID!AA9</f>
        <v>0.10988000000000001</v>
      </c>
      <c r="F35" s="40">
        <f>PID!AB9</f>
        <v>28.376463377316714</v>
      </c>
      <c r="G35" s="40">
        <f>PID!AC9</f>
        <v>2.1584208041766955</v>
      </c>
      <c r="H35" s="55">
        <f>VALUE(PID!AD9)</f>
        <v>6.73</v>
      </c>
      <c r="I35" s="55">
        <f>VALUE(PID!AE9)</f>
        <v>3</v>
      </c>
      <c r="J35" s="53">
        <f t="shared" si="14"/>
        <v>3</v>
      </c>
      <c r="K35" s="53">
        <f t="shared" si="15"/>
        <v>2</v>
      </c>
      <c r="L35" s="53">
        <f t="shared" si="2"/>
        <v>5</v>
      </c>
      <c r="M35" s="53">
        <f t="shared" si="16"/>
        <v>2</v>
      </c>
      <c r="N35" s="53">
        <f t="shared" si="4"/>
        <v>5.0067599999999999</v>
      </c>
    </row>
    <row r="36" spans="1:14" x14ac:dyDescent="0.3">
      <c r="A36" s="53" t="s">
        <v>8</v>
      </c>
      <c r="B36" s="54">
        <f>PI!A10</f>
        <v>1</v>
      </c>
      <c r="C36" s="40">
        <f>PI!D10</f>
        <v>10.816750145286585</v>
      </c>
      <c r="D36" s="53" t="s">
        <v>38</v>
      </c>
      <c r="E36" s="53" t="s">
        <v>38</v>
      </c>
      <c r="F36" s="53" t="s">
        <v>38</v>
      </c>
      <c r="G36" s="53" t="s">
        <v>38</v>
      </c>
      <c r="H36" s="55">
        <f>VALUE(PI!E10)</f>
        <v>0.04</v>
      </c>
      <c r="I36" s="55">
        <f>VALUE(PI!F10)</f>
        <v>0.6</v>
      </c>
      <c r="J36" s="53">
        <f t="shared" ref="J36:J41" si="17">RANK(H36,$H$36:$H$41,1)</f>
        <v>1</v>
      </c>
      <c r="K36" s="53">
        <f t="shared" ref="K36:K41" si="18">RANK(I36,$I$36:$I$41,1)</f>
        <v>1</v>
      </c>
      <c r="L36" s="53">
        <f t="shared" si="2"/>
        <v>2</v>
      </c>
      <c r="M36" s="53">
        <f t="shared" ref="M36:M41" si="19">RANK(N36,$N$36:$N$41,1)</f>
        <v>1</v>
      </c>
      <c r="N36" s="53">
        <f t="shared" si="4"/>
        <v>2.0000459999999998</v>
      </c>
    </row>
    <row r="37" spans="1:14" x14ac:dyDescent="0.3">
      <c r="A37" s="53" t="s">
        <v>9</v>
      </c>
      <c r="B37" s="54">
        <f>PI!A10</f>
        <v>1</v>
      </c>
      <c r="C37" s="40">
        <f>PI!G10</f>
        <v>9.7350751307579273</v>
      </c>
      <c r="D37" s="18">
        <f>PI!H10</f>
        <v>1.2555000000000001</v>
      </c>
      <c r="E37" s="53" t="s">
        <v>38</v>
      </c>
      <c r="F37" s="40">
        <f>PI!I10</f>
        <v>7.7539427564778389</v>
      </c>
      <c r="G37" s="53" t="s">
        <v>38</v>
      </c>
      <c r="H37" s="55">
        <f>VALUE(PI!J10)</f>
        <v>10.65</v>
      </c>
      <c r="I37" s="55">
        <f>VALUE(PI!K10)</f>
        <v>7</v>
      </c>
      <c r="J37" s="53">
        <f t="shared" si="17"/>
        <v>6</v>
      </c>
      <c r="K37" s="53">
        <f t="shared" si="18"/>
        <v>5</v>
      </c>
      <c r="L37" s="53">
        <f t="shared" si="2"/>
        <v>11</v>
      </c>
      <c r="M37" s="53">
        <f t="shared" si="19"/>
        <v>6</v>
      </c>
      <c r="N37" s="53">
        <f t="shared" si="4"/>
        <v>11.010719999999999</v>
      </c>
    </row>
    <row r="38" spans="1:14" x14ac:dyDescent="0.3">
      <c r="A38" s="53" t="s">
        <v>39</v>
      </c>
      <c r="B38" s="54">
        <f>PI!A10</f>
        <v>1</v>
      </c>
      <c r="C38" s="40">
        <f>PID!D10</f>
        <v>12.980100174343901</v>
      </c>
      <c r="D38" s="18">
        <f>PID!E10</f>
        <v>0.75329999999999997</v>
      </c>
      <c r="E38" s="18">
        <f>PID!F10</f>
        <v>0.18832499999999999</v>
      </c>
      <c r="F38" s="40">
        <f>PID!G10</f>
        <v>17.230983903284084</v>
      </c>
      <c r="G38" s="40">
        <f>PID!H10</f>
        <v>2.4444773653333152</v>
      </c>
      <c r="H38" s="55">
        <f>VALUE(PID!I10)</f>
        <v>7.87</v>
      </c>
      <c r="I38" s="55">
        <f>VALUE(PID!J10)</f>
        <v>5</v>
      </c>
      <c r="J38" s="53">
        <f t="shared" si="17"/>
        <v>5</v>
      </c>
      <c r="K38" s="53">
        <f t="shared" si="18"/>
        <v>4</v>
      </c>
      <c r="L38" s="53">
        <f t="shared" si="2"/>
        <v>9</v>
      </c>
      <c r="M38" s="53">
        <f t="shared" si="19"/>
        <v>5</v>
      </c>
      <c r="N38" s="53">
        <f t="shared" si="4"/>
        <v>9.0079200000000004</v>
      </c>
    </row>
    <row r="39" spans="1:14" x14ac:dyDescent="0.3">
      <c r="A39" s="53" t="s">
        <v>18</v>
      </c>
      <c r="B39" s="54">
        <f>PI!A10</f>
        <v>1</v>
      </c>
      <c r="C39" s="40">
        <f>PID!K10</f>
        <v>16.225125217929879</v>
      </c>
      <c r="D39" s="18">
        <f>PID!L10</f>
        <v>0.94162499999999993</v>
      </c>
      <c r="E39" s="18">
        <f>PID!M10</f>
        <v>0.15066000000000002</v>
      </c>
      <c r="F39" s="40">
        <f>PID!N10</f>
        <v>17.230983903284088</v>
      </c>
      <c r="G39" s="40">
        <f>PID!O10</f>
        <v>2.4444773653333156</v>
      </c>
      <c r="H39" s="55">
        <f>VALUE(PID!P10)</f>
        <v>5.94</v>
      </c>
      <c r="I39" s="55">
        <f>VALUE(PID!Q10)</f>
        <v>4</v>
      </c>
      <c r="J39" s="53">
        <f t="shared" si="17"/>
        <v>4</v>
      </c>
      <c r="K39" s="53">
        <f t="shared" si="18"/>
        <v>2</v>
      </c>
      <c r="L39" s="53">
        <f t="shared" si="2"/>
        <v>6</v>
      </c>
      <c r="M39" s="53">
        <f t="shared" si="19"/>
        <v>3</v>
      </c>
      <c r="N39" s="53">
        <f t="shared" si="4"/>
        <v>6.0059800000000001</v>
      </c>
    </row>
    <row r="40" spans="1:14" x14ac:dyDescent="0.3">
      <c r="A40" s="53" t="s">
        <v>19</v>
      </c>
      <c r="B40" s="54">
        <f>PI!A10</f>
        <v>1</v>
      </c>
      <c r="C40" s="40">
        <f>PID!R10</f>
        <v>10.816750145286585</v>
      </c>
      <c r="D40" s="18">
        <f>PID!S10</f>
        <v>1.5065999999999999</v>
      </c>
      <c r="E40" s="18">
        <f>PID!T10</f>
        <v>0.18832499999999999</v>
      </c>
      <c r="F40" s="40">
        <f>PID!U10</f>
        <v>7.1795766263683696</v>
      </c>
      <c r="G40" s="40">
        <f>PID!V10</f>
        <v>2.0370644711110959</v>
      </c>
      <c r="H40" s="55">
        <f>VALUE(PID!W10)</f>
        <v>5.83</v>
      </c>
      <c r="I40" s="55">
        <f>VALUE(PID!X10)</f>
        <v>7</v>
      </c>
      <c r="J40" s="53">
        <f t="shared" si="17"/>
        <v>2</v>
      </c>
      <c r="K40" s="53">
        <f t="shared" si="18"/>
        <v>5</v>
      </c>
      <c r="L40" s="53">
        <f t="shared" si="2"/>
        <v>7</v>
      </c>
      <c r="M40" s="53">
        <f t="shared" si="19"/>
        <v>4</v>
      </c>
      <c r="N40" s="53">
        <f t="shared" si="4"/>
        <v>7.0058999999999996</v>
      </c>
    </row>
    <row r="41" spans="1:14" x14ac:dyDescent="0.3">
      <c r="A41" s="53" t="s">
        <v>20</v>
      </c>
      <c r="B41" s="54">
        <f>PI!A10</f>
        <v>1</v>
      </c>
      <c r="C41" s="40">
        <f>PID!Y10</f>
        <v>16.225125217929879</v>
      </c>
      <c r="D41" s="18">
        <f>PID!Z10</f>
        <v>0.94915799999999995</v>
      </c>
      <c r="E41" s="18">
        <f>PID!AA10</f>
        <v>0.15066000000000002</v>
      </c>
      <c r="F41" s="40">
        <f>PID!AB10</f>
        <v>17.094230062781833</v>
      </c>
      <c r="G41" s="40">
        <f>PID!AC10</f>
        <v>2.4444773653333156</v>
      </c>
      <c r="H41" s="55">
        <f>VALUE(PID!AD10)</f>
        <v>5.91</v>
      </c>
      <c r="I41" s="55">
        <f>VALUE(PID!AE10)</f>
        <v>4</v>
      </c>
      <c r="J41" s="53">
        <f t="shared" si="17"/>
        <v>3</v>
      </c>
      <c r="K41" s="53">
        <f t="shared" si="18"/>
        <v>2</v>
      </c>
      <c r="L41" s="53">
        <f t="shared" si="2"/>
        <v>5</v>
      </c>
      <c r="M41" s="53">
        <f t="shared" si="19"/>
        <v>2</v>
      </c>
      <c r="N41" s="53">
        <f t="shared" si="4"/>
        <v>5.0059500000000003</v>
      </c>
    </row>
    <row r="43" spans="1:14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5" spans="1:14" x14ac:dyDescent="0.3">
      <c r="A45" s="3" t="s">
        <v>40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3">
      <c r="A46" s="52" t="s">
        <v>30</v>
      </c>
      <c r="B46" s="52" t="s">
        <v>31</v>
      </c>
      <c r="C46" s="52" t="s">
        <v>21</v>
      </c>
      <c r="D46" s="52" t="s">
        <v>22</v>
      </c>
      <c r="E46" s="52" t="s">
        <v>23</v>
      </c>
      <c r="F46" s="52" t="s">
        <v>24</v>
      </c>
      <c r="G46" s="52" t="s">
        <v>25</v>
      </c>
      <c r="H46" s="52" t="s">
        <v>11</v>
      </c>
      <c r="I46" s="52" t="s">
        <v>32</v>
      </c>
      <c r="J46" s="52" t="s">
        <v>41</v>
      </c>
      <c r="K46" s="52" t="s">
        <v>42</v>
      </c>
      <c r="L46" s="52" t="s">
        <v>43</v>
      </c>
      <c r="M46" s="52" t="s">
        <v>44</v>
      </c>
      <c r="N46" s="52" t="s">
        <v>37</v>
      </c>
    </row>
    <row r="47" spans="1:14" x14ac:dyDescent="0.3">
      <c r="A47" s="53" t="str">
        <f>INDEX($A$6:$A$11,MATCH(1,$M$6:$M$11,0))</f>
        <v>Ziegler-Nichols - P</v>
      </c>
      <c r="B47" s="55">
        <f>INDEX($B$6:$B$11,MATCH(1,$M$6:$M$11,0))</f>
        <v>0.1</v>
      </c>
      <c r="C47" s="40">
        <f>INDEX($C$6:$C$11,MATCH(1,$M$6:$M$11,0))</f>
        <v>33.496650555766912</v>
      </c>
      <c r="D47" s="18" t="str">
        <f>INDEX($D$6:$D$11,MATCH(1,$M$6:$M$11,0))</f>
        <v>—</v>
      </c>
      <c r="E47" s="18" t="str">
        <f>INDEX($E$6:$E$11,MATCH(1,$M$6:$M$11,0))</f>
        <v>—</v>
      </c>
      <c r="F47" s="40" t="str">
        <f>INDEX($F$6:$F$11,MATCH(1,$M$6:$M$11,0))</f>
        <v>—</v>
      </c>
      <c r="G47" s="40" t="str">
        <f>INDEX($G$6:$G$11,MATCH(1,$M$6:$M$11,0))</f>
        <v>—</v>
      </c>
      <c r="H47" s="55">
        <f>INDEX($H$6:$H$11,MATCH(1,$M$6:$M$11,0))</f>
        <v>14.55</v>
      </c>
      <c r="I47" s="55">
        <f>INDEX($I$6:$I$11,MATCH(1,$M$6:$M$11,0))</f>
        <v>0.6</v>
      </c>
      <c r="J47" s="53">
        <f t="shared" ref="J47:J58" si="20">RANK(H47,$H$47:$H$58,1)</f>
        <v>12</v>
      </c>
      <c r="K47" s="53">
        <f t="shared" ref="K47:K58" si="21">RANK(I47,$I$47:$I$58,1)</f>
        <v>1</v>
      </c>
      <c r="L47" s="53">
        <f t="shared" ref="L47:L58" si="22">J47+K47</f>
        <v>13</v>
      </c>
      <c r="M47" s="53">
        <f t="shared" ref="M47:M58" si="23">RANK(N47,$N$47:$N$58,1)</f>
        <v>6</v>
      </c>
      <c r="N47" s="53">
        <f t="shared" ref="N47:N58" si="24">L47+H47/1000+I47/100000</f>
        <v>13.014556000000001</v>
      </c>
    </row>
    <row r="48" spans="1:14" x14ac:dyDescent="0.3">
      <c r="A48" s="53" t="str">
        <f>INDEX($A$6:$A$11,MATCH(2,$M$6:$M$11,0))</f>
        <v>Tan - PID</v>
      </c>
      <c r="B48" s="55">
        <f>INDEX($B$6:$B$11,MATCH(2,$M$6:$M$11,0))</f>
        <v>0.1</v>
      </c>
      <c r="C48" s="40">
        <f>INDEX($C$6:$C$11,MATCH(2,$M$6:$M$11,0))</f>
        <v>33.496650555766912</v>
      </c>
      <c r="D48" s="18">
        <f>INDEX($D$6:$D$11,MATCH(2,$M$6:$M$11,0))</f>
        <v>0.29620000000000002</v>
      </c>
      <c r="E48" s="18">
        <f>INDEX($E$6:$E$11,MATCH(2,$M$6:$M$11,0))</f>
        <v>3.7025000000000002E-2</v>
      </c>
      <c r="F48" s="40">
        <f>INDEX($F$6:$F$11,MATCH(2,$M$6:$M$11,0))</f>
        <v>113.08794920920631</v>
      </c>
      <c r="G48" s="40">
        <f>INDEX($G$6:$G$11,MATCH(2,$M$6:$M$11,0))</f>
        <v>1.2402134868272701</v>
      </c>
      <c r="H48" s="55">
        <f>INDEX($H$6:$H$11,MATCH(2,$M$6:$M$11,0))</f>
        <v>11.97</v>
      </c>
      <c r="I48" s="55">
        <f>INDEX($I$6:$I$11,MATCH(2,$M$6:$M$11,0))</f>
        <v>1.2</v>
      </c>
      <c r="J48" s="53">
        <f t="shared" si="20"/>
        <v>11</v>
      </c>
      <c r="K48" s="53">
        <f t="shared" si="21"/>
        <v>8</v>
      </c>
      <c r="L48" s="53">
        <f t="shared" si="22"/>
        <v>19</v>
      </c>
      <c r="M48" s="53">
        <f t="shared" si="23"/>
        <v>12</v>
      </c>
      <c r="N48" s="53">
        <f t="shared" si="24"/>
        <v>19.011982000000003</v>
      </c>
    </row>
    <row r="49" spans="1:14" x14ac:dyDescent="0.3">
      <c r="A49" s="53" t="str">
        <f>INDEX($A$12:$A$17,MATCH(1,$M$12:$M$17,0))</f>
        <v>Ziegler-Nichols - P</v>
      </c>
      <c r="B49" s="55">
        <f>INDEX($B$12:$B$17,MATCH(1,$M$12:$M$17,0))</f>
        <v>0.2</v>
      </c>
      <c r="C49" s="40">
        <f>INDEX($C$12:$C$17,MATCH(1,$M$12:$M$17,0))</f>
        <v>23.53136386004461</v>
      </c>
      <c r="D49" s="18" t="str">
        <f>INDEX($D$12:$D$17,MATCH(1,$M$12:$M$17,0))</f>
        <v>—</v>
      </c>
      <c r="E49" s="18" t="str">
        <f>INDEX($E$12:$E$17,MATCH(1,$M$12:$M$17,0))</f>
        <v>—</v>
      </c>
      <c r="F49" s="40" t="str">
        <f>INDEX($F$12:$F$17,MATCH(1,$M$12:$M$17,0))</f>
        <v>—</v>
      </c>
      <c r="G49" s="40" t="str">
        <f>INDEX($G$12:$G$17,MATCH(1,$M$12:$M$17,0))</f>
        <v>—</v>
      </c>
      <c r="H49" s="55">
        <f>INDEX($H$12:$H$17,MATCH(1,$M$12:$M$17,0))</f>
        <v>8.0500000000000007</v>
      </c>
      <c r="I49" s="55">
        <f>INDEX($I$12:$I$17,MATCH(1,$M$12:$M$17,0))</f>
        <v>0.6</v>
      </c>
      <c r="J49" s="53">
        <f t="shared" si="20"/>
        <v>8</v>
      </c>
      <c r="K49" s="53">
        <f t="shared" si="21"/>
        <v>1</v>
      </c>
      <c r="L49" s="53">
        <f t="shared" si="22"/>
        <v>9</v>
      </c>
      <c r="M49" s="53">
        <f t="shared" si="23"/>
        <v>4</v>
      </c>
      <c r="N49" s="53">
        <f t="shared" si="24"/>
        <v>9.0080560000000016</v>
      </c>
    </row>
    <row r="50" spans="1:14" x14ac:dyDescent="0.3">
      <c r="A50" s="53" t="str">
        <f>INDEX($A$12:$A$17,MATCH(2,$M$12:$M$17,0))</f>
        <v>Corripio - PID</v>
      </c>
      <c r="B50" s="55">
        <f>INDEX($B$12:$B$17,MATCH(2,$M$12:$M$17,0))</f>
        <v>0.2</v>
      </c>
      <c r="C50" s="40">
        <f>INDEX($C$12:$C$17,MATCH(2,$M$12:$M$17,0))</f>
        <v>35.297045790066917</v>
      </c>
      <c r="D50" s="18">
        <f>INDEX($D$12:$D$17,MATCH(2,$M$12:$M$17,0))</f>
        <v>0.27694799999999997</v>
      </c>
      <c r="E50" s="18">
        <f>INDEX($E$12:$E$17,MATCH(2,$M$12:$M$17,0))</f>
        <v>4.3959999999999999E-2</v>
      </c>
      <c r="F50" s="40">
        <f>INDEX($F$12:$F$17,MATCH(2,$M$12:$M$17,0))</f>
        <v>127.45008373437223</v>
      </c>
      <c r="G50" s="40">
        <f>INDEX($G$12:$G$17,MATCH(2,$M$12:$M$17,0))</f>
        <v>1.5516581329313417</v>
      </c>
      <c r="H50" s="55">
        <f>INDEX($H$12:$H$17,MATCH(2,$M$12:$M$17,0))</f>
        <v>10.95</v>
      </c>
      <c r="I50" s="55">
        <f>INDEX($I$12:$I$17,MATCH(2,$M$12:$M$17,0))</f>
        <v>1</v>
      </c>
      <c r="J50" s="53">
        <f t="shared" si="20"/>
        <v>10</v>
      </c>
      <c r="K50" s="53">
        <f t="shared" si="21"/>
        <v>7</v>
      </c>
      <c r="L50" s="53">
        <f t="shared" si="22"/>
        <v>17</v>
      </c>
      <c r="M50" s="53">
        <f t="shared" si="23"/>
        <v>10</v>
      </c>
      <c r="N50" s="53">
        <f t="shared" si="24"/>
        <v>17.010960000000001</v>
      </c>
    </row>
    <row r="51" spans="1:14" x14ac:dyDescent="0.3">
      <c r="A51" s="53" t="str">
        <f>INDEX($A$18:$A$23,MATCH(1,$M$18:$M$23,0))</f>
        <v>Ziegler-Nichols - P</v>
      </c>
      <c r="B51" s="55">
        <f>INDEX($B$18:$B$23,MATCH(1,$M$18:$M$23,0))</f>
        <v>0.3</v>
      </c>
      <c r="C51" s="40">
        <f>INDEX($C$18:$C$23,MATCH(1,$M$18:$M$23,0))</f>
        <v>19.335648888051811</v>
      </c>
      <c r="D51" s="18" t="str">
        <f>INDEX($D$18:$D$23,MATCH(1,$M$18:$M$23,0))</f>
        <v>—</v>
      </c>
      <c r="E51" s="18" t="str">
        <f>INDEX($E$18:$E$23,MATCH(1,$M$18:$M$23,0))</f>
        <v>—</v>
      </c>
      <c r="F51" s="40" t="str">
        <f>INDEX($F$18:$F$23,MATCH(1,$M$18:$M$23,0))</f>
        <v>—</v>
      </c>
      <c r="G51" s="40" t="str">
        <f>INDEX($G$18:$G$23,MATCH(1,$M$18:$M$23,0))</f>
        <v>—</v>
      </c>
      <c r="H51" s="55">
        <f>INDEX($H$18:$H$23,MATCH(1,$M$18:$M$23,0))</f>
        <v>4.9800000000000004</v>
      </c>
      <c r="I51" s="55">
        <f>INDEX($I$18:$I$23,MATCH(1,$M$18:$M$23,0))</f>
        <v>0.7</v>
      </c>
      <c r="J51" s="53">
        <f t="shared" si="20"/>
        <v>4</v>
      </c>
      <c r="K51" s="53">
        <f t="shared" si="21"/>
        <v>6</v>
      </c>
      <c r="L51" s="53">
        <f t="shared" si="22"/>
        <v>10</v>
      </c>
      <c r="M51" s="53">
        <f t="shared" si="23"/>
        <v>5</v>
      </c>
      <c r="N51" s="53">
        <f t="shared" si="24"/>
        <v>10.004987</v>
      </c>
    </row>
    <row r="52" spans="1:14" x14ac:dyDescent="0.3">
      <c r="A52" s="53" t="str">
        <f>INDEX($A$18:$A$23,MATCH(2,$M$18:$M$23,0))</f>
        <v>Corripio - PID</v>
      </c>
      <c r="B52" s="55">
        <f>INDEX($B$18:$B$23,MATCH(2,$M$18:$M$23,0))</f>
        <v>0.3</v>
      </c>
      <c r="C52" s="40">
        <f>INDEX($C$18:$C$23,MATCH(2,$M$18:$M$23,0))</f>
        <v>29.003473332077718</v>
      </c>
      <c r="D52" s="18">
        <f>INDEX($D$18:$D$23,MATCH(2,$M$18:$M$23,0))</f>
        <v>0.36325800000000003</v>
      </c>
      <c r="E52" s="18">
        <f>INDEX($E$18:$E$23,MATCH(2,$M$18:$M$23,0))</f>
        <v>5.7660000000000003E-2</v>
      </c>
      <c r="F52" s="40">
        <f>INDEX($F$18:$F$23,MATCH(2,$M$18:$M$23,0))</f>
        <v>79.842627917561941</v>
      </c>
      <c r="G52" s="40">
        <f>INDEX($G$18:$G$23,MATCH(2,$M$18:$M$23,0))</f>
        <v>1.6723402723276013</v>
      </c>
      <c r="H52" s="55">
        <f>INDEX($H$18:$H$23,MATCH(2,$M$18:$M$23,0))</f>
        <v>9.3000000000000007</v>
      </c>
      <c r="I52" s="55">
        <f>INDEX($I$18:$I$23,MATCH(2,$M$18:$M$23,0))</f>
        <v>1.5</v>
      </c>
      <c r="J52" s="53">
        <f t="shared" si="20"/>
        <v>9</v>
      </c>
      <c r="K52" s="53">
        <f t="shared" si="21"/>
        <v>9</v>
      </c>
      <c r="L52" s="53">
        <f t="shared" si="22"/>
        <v>18</v>
      </c>
      <c r="M52" s="53">
        <f t="shared" si="23"/>
        <v>11</v>
      </c>
      <c r="N52" s="53">
        <f t="shared" si="24"/>
        <v>18.009315000000001</v>
      </c>
    </row>
    <row r="53" spans="1:14" x14ac:dyDescent="0.3">
      <c r="A53" s="53" t="str">
        <f>INDEX($A$24:$A$29,MATCH(1,$M$24:$M$29,0))</f>
        <v>Ziegler-Nichols - P</v>
      </c>
      <c r="B53" s="55">
        <f>INDEX($B$24:$B$29,MATCH(1,$M$24:$M$29,0))</f>
        <v>0.5</v>
      </c>
      <c r="C53" s="40">
        <f>INDEX($C$24:$C$29,MATCH(1,$M$24:$M$29,0))</f>
        <v>15.225119331211136</v>
      </c>
      <c r="D53" s="18" t="str">
        <f>INDEX($D$24:$D$29,MATCH(1,$M$24:$M$29,0))</f>
        <v>—</v>
      </c>
      <c r="E53" s="18" t="str">
        <f>INDEX($E$24:$E$29,MATCH(1,$M$24:$M$29,0))</f>
        <v>—</v>
      </c>
      <c r="F53" s="40" t="str">
        <f>INDEX($F$24:$F$29,MATCH(1,$M$24:$M$29,0))</f>
        <v>—</v>
      </c>
      <c r="G53" s="40" t="str">
        <f>INDEX($G$24:$G$29,MATCH(1,$M$24:$M$29,0))</f>
        <v>—</v>
      </c>
      <c r="H53" s="55">
        <f>INDEX($H$24:$H$29,MATCH(1,$M$24:$M$29,0))</f>
        <v>2.0099999999999998</v>
      </c>
      <c r="I53" s="55">
        <f>INDEX($I$24:$I$29,MATCH(1,$M$24:$M$29,0))</f>
        <v>0.6</v>
      </c>
      <c r="J53" s="53">
        <f t="shared" si="20"/>
        <v>3</v>
      </c>
      <c r="K53" s="53">
        <f t="shared" si="21"/>
        <v>1</v>
      </c>
      <c r="L53" s="53">
        <f t="shared" si="22"/>
        <v>4</v>
      </c>
      <c r="M53" s="53">
        <f t="shared" si="23"/>
        <v>3</v>
      </c>
      <c r="N53" s="53">
        <f t="shared" si="24"/>
        <v>4.0020160000000002</v>
      </c>
    </row>
    <row r="54" spans="1:14" x14ac:dyDescent="0.3">
      <c r="A54" s="53" t="str">
        <f>INDEX($A$24:$A$29,MATCH(2,$M$24:$M$29,0))</f>
        <v>Corripio - PID</v>
      </c>
      <c r="B54" s="55">
        <f>INDEX($B$24:$B$29,MATCH(2,$M$24:$M$29,0))</f>
        <v>0.5</v>
      </c>
      <c r="C54" s="40">
        <f>INDEX($C$24:$C$29,MATCH(2,$M$24:$M$29,0))</f>
        <v>22.837678996816706</v>
      </c>
      <c r="D54" s="18">
        <f>INDEX($D$24:$D$29,MATCH(2,$M$24:$M$29,0))</f>
        <v>0.52926299999999993</v>
      </c>
      <c r="E54" s="18">
        <f>INDEX($E$24:$E$29,MATCH(2,$M$24:$M$29,0))</f>
        <v>8.4010000000000001E-2</v>
      </c>
      <c r="F54" s="40">
        <f>INDEX($F$24:$F$29,MATCH(2,$M$24:$M$29,0))</f>
        <v>43.149963244770007</v>
      </c>
      <c r="G54" s="40">
        <f>INDEX($G$24:$G$29,MATCH(2,$M$24:$M$29,0))</f>
        <v>1.9185934125225714</v>
      </c>
      <c r="H54" s="55">
        <f>INDEX($H$24:$H$29,MATCH(2,$M$24:$M$29,0))</f>
        <v>7.68</v>
      </c>
      <c r="I54" s="55">
        <f>INDEX($I$24:$I$29,MATCH(2,$M$24:$M$29,0))</f>
        <v>1.9</v>
      </c>
      <c r="J54" s="53">
        <f t="shared" si="20"/>
        <v>7</v>
      </c>
      <c r="K54" s="53">
        <f t="shared" si="21"/>
        <v>10</v>
      </c>
      <c r="L54" s="53">
        <f t="shared" si="22"/>
        <v>17</v>
      </c>
      <c r="M54" s="53">
        <f t="shared" si="23"/>
        <v>9</v>
      </c>
      <c r="N54" s="53">
        <f t="shared" si="24"/>
        <v>17.007699000000002</v>
      </c>
    </row>
    <row r="55" spans="1:14" x14ac:dyDescent="0.3">
      <c r="A55" s="53" t="str">
        <f>INDEX($A$30:$A$35,MATCH(1,$M$30:$M$35,0))</f>
        <v>Ziegler-Nichols - P</v>
      </c>
      <c r="B55" s="55">
        <f>INDEX($B$30:$B$35,MATCH(1,$M$30:$M$35,0))</f>
        <v>0.7</v>
      </c>
      <c r="C55" s="40">
        <f>INDEX($C$30:$C$35,MATCH(1,$M$30:$M$35,0))</f>
        <v>13.095624342778153</v>
      </c>
      <c r="D55" s="18" t="str">
        <f>INDEX($D$30:$D$35,MATCH(1,$M$30:$M$35,0))</f>
        <v>—</v>
      </c>
      <c r="E55" s="18" t="str">
        <f>INDEX($E$30:$E$35,MATCH(1,$M$30:$M$35,0))</f>
        <v>—</v>
      </c>
      <c r="F55" s="40" t="str">
        <f>INDEX($F$30:$F$35,MATCH(1,$M$30:$M$35,0))</f>
        <v>—</v>
      </c>
      <c r="G55" s="40" t="str">
        <f>INDEX($G$30:$G$35,MATCH(1,$M$30:$M$35,0))</f>
        <v>—</v>
      </c>
      <c r="H55" s="55">
        <f>INDEX($H$30:$H$35,MATCH(1,$M$30:$M$35,0))</f>
        <v>0.77</v>
      </c>
      <c r="I55" s="55">
        <f>INDEX($I$30:$I$35,MATCH(1,$M$30:$M$35,0))</f>
        <v>0.6</v>
      </c>
      <c r="J55" s="53">
        <f t="shared" si="20"/>
        <v>2</v>
      </c>
      <c r="K55" s="53">
        <f t="shared" si="21"/>
        <v>1</v>
      </c>
      <c r="L55" s="53">
        <f t="shared" si="22"/>
        <v>3</v>
      </c>
      <c r="M55" s="53">
        <f t="shared" si="23"/>
        <v>2</v>
      </c>
      <c r="N55" s="53">
        <f t="shared" si="24"/>
        <v>3.0007760000000001</v>
      </c>
    </row>
    <row r="56" spans="1:14" x14ac:dyDescent="0.3">
      <c r="A56" s="53" t="str">
        <f>INDEX($A$30:$A$35,MATCH(2,$M$30:$M$35,0))</f>
        <v>Corripio - PID</v>
      </c>
      <c r="B56" s="55">
        <f>INDEX($B$30:$B$35,MATCH(2,$M$30:$M$35,0))</f>
        <v>0.7</v>
      </c>
      <c r="C56" s="40">
        <f>INDEX($C$30:$C$35,MATCH(2,$M$30:$M$35,0))</f>
        <v>19.643436514167231</v>
      </c>
      <c r="D56" s="18">
        <f>INDEX($D$30:$D$35,MATCH(2,$M$30:$M$35,0))</f>
        <v>0.69224399999999997</v>
      </c>
      <c r="E56" s="18">
        <f>INDEX($E$30:$E$35,MATCH(2,$M$30:$M$35,0))</f>
        <v>0.10988000000000001</v>
      </c>
      <c r="F56" s="40">
        <f>INDEX($F$30:$F$35,MATCH(2,$M$30:$M$35,0))</f>
        <v>28.376463377316714</v>
      </c>
      <c r="G56" s="40">
        <f>INDEX($G$30:$G$35,MATCH(2,$M$30:$M$35,0))</f>
        <v>2.1584208041766955</v>
      </c>
      <c r="H56" s="55">
        <f>INDEX($H$30:$H$35,MATCH(2,$M$30:$M$35,0))</f>
        <v>6.73</v>
      </c>
      <c r="I56" s="55">
        <f>INDEX($I$30:$I$35,MATCH(2,$M$30:$M$35,0))</f>
        <v>3</v>
      </c>
      <c r="J56" s="53">
        <f t="shared" si="20"/>
        <v>6</v>
      </c>
      <c r="K56" s="53">
        <f t="shared" si="21"/>
        <v>11</v>
      </c>
      <c r="L56" s="53">
        <f t="shared" si="22"/>
        <v>17</v>
      </c>
      <c r="M56" s="53">
        <f t="shared" si="23"/>
        <v>8</v>
      </c>
      <c r="N56" s="53">
        <f t="shared" si="24"/>
        <v>17.00676</v>
      </c>
    </row>
    <row r="57" spans="1:14" x14ac:dyDescent="0.3">
      <c r="A57" s="53" t="str">
        <f>INDEX($A$36:$A$41,MATCH(1,$M$36:$M$41,0))</f>
        <v>Ziegler-Nichols - P</v>
      </c>
      <c r="B57" s="55">
        <f>INDEX($B$36:$B$41,MATCH(1,$M$36:$M$41,0))</f>
        <v>1</v>
      </c>
      <c r="C57" s="40">
        <f>INDEX($C$36:$C$41,MATCH(1,$M$36:$M$41,0))</f>
        <v>10.816750145286585</v>
      </c>
      <c r="D57" s="18" t="str">
        <f>INDEX($D$36:$D$41,MATCH(1,$M$36:$M$41,0))</f>
        <v>—</v>
      </c>
      <c r="E57" s="18" t="str">
        <f>INDEX($E$36:$E$41,MATCH(1,$M$36:$M$41,0))</f>
        <v>—</v>
      </c>
      <c r="F57" s="40" t="str">
        <f>INDEX($F$36:$F$41,MATCH(1,$M$36:$M$41,0))</f>
        <v>—</v>
      </c>
      <c r="G57" s="40" t="str">
        <f>INDEX($G$36:$G$41,MATCH(1,$M$36:$M$41,0))</f>
        <v>—</v>
      </c>
      <c r="H57" s="55">
        <f>INDEX($H$36:$H$41,MATCH(1,$M$36:$M$41,0))</f>
        <v>0.04</v>
      </c>
      <c r="I57" s="55">
        <f>INDEX($I$36:$I$41,MATCH(1,$M$36:$M$41,0))</f>
        <v>0.6</v>
      </c>
      <c r="J57" s="53">
        <f t="shared" si="20"/>
        <v>1</v>
      </c>
      <c r="K57" s="53">
        <f t="shared" si="21"/>
        <v>1</v>
      </c>
      <c r="L57" s="53">
        <f t="shared" si="22"/>
        <v>2</v>
      </c>
      <c r="M57" s="53">
        <f t="shared" si="23"/>
        <v>1</v>
      </c>
      <c r="N57" s="53">
        <f t="shared" si="24"/>
        <v>2.0000459999999998</v>
      </c>
    </row>
    <row r="58" spans="1:14" x14ac:dyDescent="0.3">
      <c r="A58" s="53" t="str">
        <f>INDEX($A$36:$A$41,MATCH(2,$M$36:$M$41,0))</f>
        <v>Corripio - PID</v>
      </c>
      <c r="B58" s="55">
        <f>INDEX($B$36:$B$41,MATCH(2,$M$36:$M$41,0))</f>
        <v>1</v>
      </c>
      <c r="C58" s="40">
        <f>INDEX($C$36:$C$41,MATCH(2,$M$36:$M$41,0))</f>
        <v>16.225125217929879</v>
      </c>
      <c r="D58" s="18">
        <f>INDEX($D$36:$D$41,MATCH(2,$M$36:$M$41,0))</f>
        <v>0.94915799999999995</v>
      </c>
      <c r="E58" s="18">
        <f>INDEX($E$36:$E$41,MATCH(2,$M$36:$M$41,0))</f>
        <v>0.15066000000000002</v>
      </c>
      <c r="F58" s="40">
        <f>INDEX($F$36:$F$41,MATCH(2,$M$36:$M$41,0))</f>
        <v>17.094230062781833</v>
      </c>
      <c r="G58" s="40">
        <f>INDEX($G$36:$G$41,MATCH(2,$M$36:$M$41,0))</f>
        <v>2.4444773653333156</v>
      </c>
      <c r="H58" s="55">
        <f>INDEX($H$36:$H$41,MATCH(2,$M$36:$M$41,0))</f>
        <v>5.91</v>
      </c>
      <c r="I58" s="55">
        <f>INDEX($I$36:$I$41,MATCH(2,$M$36:$M$41,0))</f>
        <v>4</v>
      </c>
      <c r="J58" s="53">
        <f t="shared" si="20"/>
        <v>5</v>
      </c>
      <c r="K58" s="53">
        <f t="shared" si="21"/>
        <v>12</v>
      </c>
      <c r="L58" s="53">
        <f t="shared" si="22"/>
        <v>17</v>
      </c>
      <c r="M58" s="53">
        <f t="shared" si="23"/>
        <v>7</v>
      </c>
      <c r="N58" s="53">
        <f t="shared" si="24"/>
        <v>17.005949999999999</v>
      </c>
    </row>
    <row r="59" spans="1:14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1" spans="1:14" x14ac:dyDescent="0.3">
      <c r="A61" s="3" t="s">
        <v>45</v>
      </c>
      <c r="B61" s="3"/>
      <c r="C61" s="3"/>
      <c r="D61" s="3"/>
      <c r="E61" s="3"/>
      <c r="F61" s="3"/>
      <c r="G61" s="3"/>
      <c r="H61" s="3"/>
      <c r="I61" s="3"/>
      <c r="J61" s="3"/>
    </row>
    <row r="62" spans="1:14" x14ac:dyDescent="0.3">
      <c r="A62" s="52" t="s">
        <v>46</v>
      </c>
      <c r="B62" s="52" t="s">
        <v>30</v>
      </c>
      <c r="C62" s="52" t="s">
        <v>31</v>
      </c>
      <c r="D62" s="52" t="s">
        <v>21</v>
      </c>
      <c r="E62" s="52" t="s">
        <v>22</v>
      </c>
      <c r="F62" s="52" t="s">
        <v>23</v>
      </c>
      <c r="G62" s="52" t="s">
        <v>24</v>
      </c>
      <c r="H62" s="52" t="s">
        <v>25</v>
      </c>
      <c r="I62" s="52" t="s">
        <v>11</v>
      </c>
      <c r="J62" s="52" t="s">
        <v>32</v>
      </c>
    </row>
    <row r="63" spans="1:14" x14ac:dyDescent="0.3">
      <c r="A63" s="56" t="s">
        <v>47</v>
      </c>
      <c r="B63" s="57" t="str">
        <f>INDEX($A$47:$A$58,MATCH(1,$M$47:$M$58,0))</f>
        <v>Ziegler-Nichols - P</v>
      </c>
      <c r="C63" s="58">
        <f>INDEX($B$47:$B$58,MATCH(1,$M$47:$M$58,0))</f>
        <v>1</v>
      </c>
      <c r="D63" s="59">
        <f>INDEX($C$47:$C$58,MATCH(1,$M$47:$M$58,0))</f>
        <v>10.816750145286585</v>
      </c>
      <c r="E63" s="60" t="str">
        <f>INDEX($D$47:$D$58,MATCH(1,$M$47:$M$58,0))</f>
        <v>—</v>
      </c>
      <c r="F63" s="60" t="str">
        <f>INDEX($E$47:$E$58,MATCH(1,$M$47:$M$58,0))</f>
        <v>—</v>
      </c>
      <c r="G63" s="57" t="str">
        <f>INDEX($F$47:$F$58,MATCH(1,$M$47:$M$58,0))</f>
        <v>—</v>
      </c>
      <c r="H63" s="57" t="str">
        <f>INDEX($G$47:$G$58,MATCH(1,$M$47:$M$58,0))</f>
        <v>—</v>
      </c>
      <c r="I63" s="58">
        <f>INDEX($H$47:$H$58,MATCH(1,$M$47:$M$58,0))</f>
        <v>0.04</v>
      </c>
      <c r="J63" s="58">
        <f>INDEX($I$47:$I$58,MATCH(1,$M$47:$M$58,0))</f>
        <v>0.6</v>
      </c>
    </row>
    <row r="64" spans="1:14" x14ac:dyDescent="0.3">
      <c r="A64" s="61" t="s">
        <v>48</v>
      </c>
      <c r="B64" s="62" t="str">
        <f>INDEX($A$47:$A$58,MATCH(2,$M$47:$M$58,0))</f>
        <v>Ziegler-Nichols - P</v>
      </c>
      <c r="C64" s="63">
        <f>INDEX($B$47:$B$58,MATCH(2,$M$47:$M$58,0))</f>
        <v>0.7</v>
      </c>
      <c r="D64" s="64">
        <f>INDEX($C$47:$C$58,MATCH(2,$M$47:$M$58,0))</f>
        <v>13.095624342778153</v>
      </c>
      <c r="E64" s="65" t="str">
        <f>INDEX($D$47:$D$58,MATCH(2,$M$47:$M$58,0))</f>
        <v>—</v>
      </c>
      <c r="F64" s="65" t="str">
        <f>INDEX($E$47:$E$58,MATCH(2,$M$47:$M$58,0))</f>
        <v>—</v>
      </c>
      <c r="G64" s="62" t="str">
        <f>INDEX($F$47:$F$58,MATCH(2,$M$47:$M$58,0))</f>
        <v>—</v>
      </c>
      <c r="H64" s="62" t="str">
        <f>INDEX($G$47:$G$58,MATCH(2,$M$47:$M$58,0))</f>
        <v>—</v>
      </c>
      <c r="I64" s="63">
        <f>INDEX($H$47:$H$58,MATCH(2,$M$47:$M$58,0))</f>
        <v>0.77</v>
      </c>
      <c r="J64" s="63">
        <f>INDEX($I$47:$I$58,MATCH(2,$M$47:$M$58,0))</f>
        <v>0.6</v>
      </c>
    </row>
    <row r="65" spans="1:10" x14ac:dyDescent="0.3">
      <c r="A65" s="66" t="s">
        <v>49</v>
      </c>
      <c r="B65" s="67" t="str">
        <f>INDEX($A$47:$A$58,MATCH(3,$M$47:$M$58,0))</f>
        <v>Ziegler-Nichols - P</v>
      </c>
      <c r="C65" s="68">
        <f>INDEX($B$47:$B$58,MATCH(3,$M$47:$M$58,0))</f>
        <v>0.5</v>
      </c>
      <c r="D65" s="69">
        <f>INDEX($C$47:$C$58,MATCH(3,$M$47:$M$58,0))</f>
        <v>15.225119331211136</v>
      </c>
      <c r="E65" s="70" t="str">
        <f>INDEX($D$47:$D$58,MATCH(3,$M$47:$M$58,0))</f>
        <v>—</v>
      </c>
      <c r="F65" s="70" t="str">
        <f>INDEX($E$47:$E$58,MATCH(3,$M$47:$M$58,0))</f>
        <v>—</v>
      </c>
      <c r="G65" s="67" t="str">
        <f>INDEX($F$47:$F$58,MATCH(3,$M$47:$M$58,0))</f>
        <v>—</v>
      </c>
      <c r="H65" s="67" t="str">
        <f>INDEX($G$47:$G$58,MATCH(3,$M$47:$M$58,0))</f>
        <v>—</v>
      </c>
      <c r="I65" s="68">
        <f>INDEX($H$47:$H$58,MATCH(3,$M$47:$M$58,0))</f>
        <v>2.0099999999999998</v>
      </c>
      <c r="J65" s="68">
        <f>INDEX($I$47:$I$58,MATCH(3,$M$47:$M$58,0))</f>
        <v>0.6</v>
      </c>
    </row>
    <row r="67" spans="1:10" x14ac:dyDescent="0.3">
      <c r="A67" s="2" t="s">
        <v>50</v>
      </c>
      <c r="B67" s="2"/>
      <c r="C67" s="2"/>
      <c r="D67" s="2"/>
      <c r="E67" s="2"/>
      <c r="F67" s="2"/>
      <c r="G67" s="2"/>
      <c r="H67" s="2"/>
      <c r="I67" s="2"/>
    </row>
    <row r="68" spans="1:10" x14ac:dyDescent="0.3">
      <c r="A68" s="52" t="s">
        <v>30</v>
      </c>
      <c r="B68" s="52" t="s">
        <v>31</v>
      </c>
      <c r="C68" s="52" t="s">
        <v>21</v>
      </c>
      <c r="D68" s="52" t="s">
        <v>22</v>
      </c>
      <c r="E68" s="52" t="s">
        <v>23</v>
      </c>
      <c r="F68" s="52" t="s">
        <v>24</v>
      </c>
      <c r="G68" s="52" t="s">
        <v>25</v>
      </c>
      <c r="H68" s="52" t="s">
        <v>11</v>
      </c>
      <c r="I68" s="52" t="s">
        <v>32</v>
      </c>
    </row>
    <row r="69" spans="1:10" x14ac:dyDescent="0.3">
      <c r="A69" s="71" t="str">
        <f t="shared" ref="A69:I69" si="25">B63</f>
        <v>Ziegler-Nichols - P</v>
      </c>
      <c r="B69" s="72">
        <f t="shared" si="25"/>
        <v>1</v>
      </c>
      <c r="C69" s="73">
        <f t="shared" si="25"/>
        <v>10.816750145286585</v>
      </c>
      <c r="D69" s="74" t="str">
        <f t="shared" si="25"/>
        <v>—</v>
      </c>
      <c r="E69" s="74" t="str">
        <f t="shared" si="25"/>
        <v>—</v>
      </c>
      <c r="F69" s="73" t="str">
        <f t="shared" si="25"/>
        <v>—</v>
      </c>
      <c r="G69" s="73" t="str">
        <f t="shared" si="25"/>
        <v>—</v>
      </c>
      <c r="H69" s="72">
        <f t="shared" si="25"/>
        <v>0.04</v>
      </c>
      <c r="I69" s="72">
        <f t="shared" si="25"/>
        <v>0.6</v>
      </c>
    </row>
    <row r="71" spans="1:10" ht="19.5" customHeight="1" x14ac:dyDescent="0.3">
      <c r="A71" s="1"/>
      <c r="B71" s="1"/>
      <c r="C71" s="1"/>
      <c r="D71" s="1"/>
      <c r="E71" s="1"/>
      <c r="F71" s="1"/>
      <c r="G71" s="1"/>
      <c r="H71" s="1"/>
      <c r="I71" s="1"/>
    </row>
  </sheetData>
  <mergeCells count="9">
    <mergeCell ref="A59:N59"/>
    <mergeCell ref="A61:J61"/>
    <mergeCell ref="A67:I67"/>
    <mergeCell ref="A71:I71"/>
    <mergeCell ref="A1:N1"/>
    <mergeCell ref="A2:N2"/>
    <mergeCell ref="A4:N4"/>
    <mergeCell ref="A43:N43"/>
    <mergeCell ref="A45:N4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PI</vt:lpstr>
      <vt:lpstr>PID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Angel Rojas Hernandez</cp:lastModifiedBy>
  <cp:revision>0</cp:revision>
  <dcterms:created xsi:type="dcterms:W3CDTF">2026-09-08T02:13:55Z</dcterms:created>
  <dcterms:modified xsi:type="dcterms:W3CDTF">2026-09-08T04:16:23Z</dcterms:modified>
  <dc:language>en-US</dc:language>
</cp:coreProperties>
</file>