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nimilitareduco-my.sharepoint.com/personal/est_miguel_arojas_unimilitar_edu_co/Documents/Escritorio/"/>
    </mc:Choice>
  </mc:AlternateContent>
  <xr:revisionPtr revIDLastSave="6" documentId="14_{34FD996B-D2B5-4A17-8526-4BEAA83D8952}" xr6:coauthVersionLast="47" xr6:coauthVersionMax="47" xr10:uidLastSave="{7E804A23-F56C-4583-A85E-4EBE5520494F}"/>
  <bookViews>
    <workbookView xWindow="-108" yWindow="-108" windowWidth="23256" windowHeight="12456" tabRatio="631" xr2:uid="{00000000-000D-0000-FFFF-FFFF00000000}"/>
  </bookViews>
  <sheets>
    <sheet name="Datos_Escalon" sheetId="1" r:id="rId1"/>
    <sheet name="PID Leonard (1994)" sheetId="2" r:id="rId2"/>
    <sheet name="PID Astrom y Hagglund" sheetId="4" r:id="rId3"/>
    <sheet name="PID Cluett y Wang (TCL)" sheetId="3" r:id="rId4"/>
    <sheet name="Asignacion de Polos" sheetId="5" r:id="rId5"/>
    <sheet name="Metodo Rele e=1" sheetId="6" r:id="rId6"/>
    <sheet name="Resumen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14" i="7" l="1"/>
  <c r="K14" i="7"/>
  <c r="I14" i="7"/>
  <c r="G14" i="7"/>
  <c r="E14" i="7"/>
  <c r="B14" i="7"/>
  <c r="A14" i="7"/>
  <c r="M13" i="7"/>
  <c r="K13" i="7"/>
  <c r="I13" i="7"/>
  <c r="G13" i="7"/>
  <c r="E13" i="7"/>
  <c r="B13" i="7"/>
  <c r="A13" i="7"/>
  <c r="M12" i="7"/>
  <c r="K12" i="7"/>
  <c r="I12" i="7"/>
  <c r="G12" i="7"/>
  <c r="E12" i="7"/>
  <c r="B12" i="7"/>
  <c r="A12" i="7"/>
  <c r="M11" i="7"/>
  <c r="K11" i="7"/>
  <c r="I11" i="7"/>
  <c r="G11" i="7"/>
  <c r="E11" i="7"/>
  <c r="B11" i="7"/>
  <c r="A11" i="7"/>
  <c r="M10" i="7"/>
  <c r="K10" i="7"/>
  <c r="I10" i="7"/>
  <c r="G10" i="7"/>
  <c r="E10" i="7"/>
  <c r="B10" i="7"/>
  <c r="A10" i="7"/>
  <c r="M9" i="7"/>
  <c r="K9" i="7"/>
  <c r="I9" i="7"/>
  <c r="G9" i="7"/>
  <c r="E9" i="7"/>
  <c r="B9" i="7"/>
  <c r="A9" i="7"/>
  <c r="M8" i="7"/>
  <c r="K8" i="7"/>
  <c r="I8" i="7"/>
  <c r="G8" i="7"/>
  <c r="E8" i="7"/>
  <c r="B8" i="7"/>
  <c r="A8" i="7"/>
  <c r="M7" i="7"/>
  <c r="K7" i="7"/>
  <c r="I7" i="7"/>
  <c r="G7" i="7"/>
  <c r="E7" i="7"/>
  <c r="B7" i="7"/>
  <c r="A7" i="7"/>
  <c r="M6" i="7"/>
  <c r="K6" i="7"/>
  <c r="I6" i="7"/>
  <c r="G6" i="7"/>
  <c r="E6" i="7"/>
  <c r="B6" i="7"/>
  <c r="A6" i="7"/>
  <c r="M5" i="7"/>
  <c r="K5" i="7"/>
  <c r="I5" i="7"/>
  <c r="G5" i="7"/>
  <c r="E5" i="7"/>
  <c r="B5" i="7"/>
  <c r="A5" i="7"/>
  <c r="C14" i="6"/>
  <c r="B14" i="6"/>
  <c r="A14" i="6"/>
  <c r="C13" i="6"/>
  <c r="B13" i="6"/>
  <c r="A13" i="6"/>
  <c r="C12" i="6"/>
  <c r="B12" i="6"/>
  <c r="A12" i="6"/>
  <c r="C11" i="6"/>
  <c r="B11" i="6"/>
  <c r="A11" i="6"/>
  <c r="C10" i="6"/>
  <c r="B10" i="6"/>
  <c r="A10" i="6"/>
  <c r="C9" i="6"/>
  <c r="B9" i="6"/>
  <c r="A9" i="6"/>
  <c r="C8" i="6"/>
  <c r="B8" i="6"/>
  <c r="A8" i="6"/>
  <c r="C7" i="6"/>
  <c r="B7" i="6"/>
  <c r="A7" i="6"/>
  <c r="C6" i="6"/>
  <c r="B6" i="6"/>
  <c r="A6" i="6"/>
  <c r="E5" i="6"/>
  <c r="C5" i="6"/>
  <c r="B5" i="6"/>
  <c r="A5" i="6"/>
  <c r="C14" i="5"/>
  <c r="B14" i="5"/>
  <c r="A14" i="5"/>
  <c r="C13" i="5"/>
  <c r="B13" i="5"/>
  <c r="A13" i="5"/>
  <c r="C12" i="5"/>
  <c r="B12" i="5"/>
  <c r="A12" i="5"/>
  <c r="C11" i="5"/>
  <c r="B11" i="5"/>
  <c r="A11" i="5"/>
  <c r="C10" i="5"/>
  <c r="B10" i="5"/>
  <c r="A10" i="5"/>
  <c r="C9" i="5"/>
  <c r="B9" i="5"/>
  <c r="A9" i="5"/>
  <c r="C8" i="5"/>
  <c r="B8" i="5"/>
  <c r="A8" i="5"/>
  <c r="C7" i="5"/>
  <c r="B7" i="5"/>
  <c r="A7" i="5"/>
  <c r="C6" i="5"/>
  <c r="B6" i="5"/>
  <c r="A6" i="5"/>
  <c r="E5" i="5"/>
  <c r="C5" i="5"/>
  <c r="B5" i="5"/>
  <c r="A5" i="5"/>
  <c r="C14" i="4"/>
  <c r="B14" i="4"/>
  <c r="A14" i="4"/>
  <c r="C13" i="4"/>
  <c r="B13" i="4"/>
  <c r="A13" i="4"/>
  <c r="C12" i="4"/>
  <c r="B12" i="4"/>
  <c r="A12" i="4"/>
  <c r="C11" i="4"/>
  <c r="B11" i="4"/>
  <c r="A11" i="4"/>
  <c r="C10" i="4"/>
  <c r="B10" i="4"/>
  <c r="A10" i="4"/>
  <c r="C9" i="4"/>
  <c r="B9" i="4"/>
  <c r="A9" i="4"/>
  <c r="C8" i="4"/>
  <c r="B8" i="4"/>
  <c r="A8" i="4"/>
  <c r="C7" i="4"/>
  <c r="B7" i="4"/>
  <c r="A7" i="4"/>
  <c r="C6" i="4"/>
  <c r="B6" i="4"/>
  <c r="A6" i="4"/>
  <c r="E5" i="4"/>
  <c r="C5" i="4"/>
  <c r="B5" i="4"/>
  <c r="A5" i="4"/>
  <c r="C14" i="3"/>
  <c r="B14" i="3"/>
  <c r="A14" i="3"/>
  <c r="C13" i="3"/>
  <c r="B13" i="3"/>
  <c r="A13" i="3"/>
  <c r="C12" i="3"/>
  <c r="B12" i="3"/>
  <c r="A12" i="3"/>
  <c r="C11" i="3"/>
  <c r="B11" i="3"/>
  <c r="A11" i="3"/>
  <c r="C10" i="3"/>
  <c r="B10" i="3"/>
  <c r="A10" i="3"/>
  <c r="C9" i="3"/>
  <c r="B9" i="3"/>
  <c r="A9" i="3"/>
  <c r="C8" i="3"/>
  <c r="B8" i="3"/>
  <c r="A8" i="3"/>
  <c r="C7" i="3"/>
  <c r="B7" i="3"/>
  <c r="A7" i="3"/>
  <c r="C6" i="3"/>
  <c r="B6" i="3"/>
  <c r="A6" i="3"/>
  <c r="E5" i="3"/>
  <c r="C5" i="3"/>
  <c r="B5" i="3"/>
  <c r="A5" i="3"/>
  <c r="C14" i="2"/>
  <c r="B14" i="2"/>
  <c r="A14" i="2"/>
  <c r="C13" i="2"/>
  <c r="B13" i="2"/>
  <c r="A13" i="2"/>
  <c r="C12" i="2"/>
  <c r="B12" i="2"/>
  <c r="A12" i="2"/>
  <c r="C11" i="2"/>
  <c r="B11" i="2"/>
  <c r="A11" i="2"/>
  <c r="C10" i="2"/>
  <c r="B10" i="2"/>
  <c r="A10" i="2"/>
  <c r="C9" i="2"/>
  <c r="B9" i="2"/>
  <c r="A9" i="2"/>
  <c r="C8" i="2"/>
  <c r="B8" i="2"/>
  <c r="A8" i="2"/>
  <c r="C7" i="2"/>
  <c r="B7" i="2"/>
  <c r="A7" i="2"/>
  <c r="C6" i="2"/>
  <c r="B6" i="2"/>
  <c r="A6" i="2"/>
  <c r="E5" i="2"/>
  <c r="C5" i="2"/>
  <c r="B5" i="2"/>
  <c r="A5" i="2"/>
  <c r="D14" i="1"/>
  <c r="C14" i="7" s="1"/>
  <c r="D13" i="1"/>
  <c r="D13" i="6" s="1"/>
  <c r="D12" i="1"/>
  <c r="C12" i="7" s="1"/>
  <c r="D11" i="1"/>
  <c r="C11" i="7" s="1"/>
  <c r="D10" i="1"/>
  <c r="C10" i="7" s="1"/>
  <c r="D9" i="1"/>
  <c r="C9" i="7" s="1"/>
  <c r="D8" i="1"/>
  <c r="C8" i="7" s="1"/>
  <c r="D7" i="1"/>
  <c r="C7" i="7" s="1"/>
  <c r="D6" i="1"/>
  <c r="C6" i="7" s="1"/>
  <c r="F5" i="1"/>
  <c r="F5" i="6" s="1"/>
  <c r="I5" i="6" s="1"/>
  <c r="L5" i="7" s="1"/>
  <c r="D5" i="1"/>
  <c r="D5" i="6" s="1"/>
  <c r="C5" i="7" l="1"/>
  <c r="C13" i="7"/>
  <c r="G5" i="1"/>
  <c r="D5" i="2"/>
  <c r="D6" i="2"/>
  <c r="D7" i="2"/>
  <c r="D8" i="2"/>
  <c r="D9" i="2"/>
  <c r="D10" i="2"/>
  <c r="D11" i="2"/>
  <c r="D12" i="2"/>
  <c r="D13" i="2"/>
  <c r="D14" i="2"/>
  <c r="D5" i="3"/>
  <c r="D6" i="3"/>
  <c r="D7" i="3"/>
  <c r="D8" i="3"/>
  <c r="D9" i="3"/>
  <c r="D10" i="3"/>
  <c r="D11" i="3"/>
  <c r="D12" i="3"/>
  <c r="D13" i="3"/>
  <c r="D14" i="3"/>
  <c r="D5" i="4"/>
  <c r="D6" i="4"/>
  <c r="D7" i="4"/>
  <c r="D8" i="4"/>
  <c r="D9" i="4"/>
  <c r="D10" i="4"/>
  <c r="D11" i="4"/>
  <c r="D12" i="4"/>
  <c r="D13" i="4"/>
  <c r="D14" i="4"/>
  <c r="D5" i="5"/>
  <c r="D6" i="5"/>
  <c r="D7" i="5"/>
  <c r="D8" i="5"/>
  <c r="D9" i="5"/>
  <c r="D10" i="5"/>
  <c r="D11" i="5"/>
  <c r="D12" i="5"/>
  <c r="D13" i="5"/>
  <c r="D14" i="5"/>
  <c r="D6" i="6"/>
  <c r="D7" i="6"/>
  <c r="D8" i="6"/>
  <c r="D9" i="6"/>
  <c r="D10" i="6"/>
  <c r="D11" i="6"/>
  <c r="D12" i="6"/>
  <c r="D14" i="6"/>
  <c r="E6" i="1"/>
  <c r="F5" i="2"/>
  <c r="I5" i="2" s="1"/>
  <c r="D5" i="7" s="1"/>
  <c r="F5" i="3"/>
  <c r="I5" i="3" s="1"/>
  <c r="F5" i="7" s="1"/>
  <c r="F5" i="4"/>
  <c r="I5" i="4" s="1"/>
  <c r="H5" i="7" s="1"/>
  <c r="F5" i="5"/>
  <c r="I5" i="5" s="1"/>
  <c r="J5" i="7" s="1"/>
  <c r="J5" i="6" l="1"/>
  <c r="J5" i="5"/>
  <c r="J5" i="4"/>
  <c r="J5" i="3"/>
  <c r="J5" i="2"/>
  <c r="F6" i="1"/>
  <c r="E6" i="6"/>
  <c r="E6" i="5"/>
  <c r="E6" i="4"/>
  <c r="E6" i="3"/>
  <c r="E6" i="2"/>
  <c r="E7" i="1" l="1"/>
  <c r="G6" i="1"/>
  <c r="F6" i="6"/>
  <c r="I6" i="6" s="1"/>
  <c r="L6" i="7" s="1"/>
  <c r="F6" i="5"/>
  <c r="I6" i="5" s="1"/>
  <c r="J6" i="7" s="1"/>
  <c r="F6" i="4"/>
  <c r="I6" i="4" s="1"/>
  <c r="H6" i="7" s="1"/>
  <c r="F6" i="3"/>
  <c r="I6" i="3" s="1"/>
  <c r="F6" i="7" s="1"/>
  <c r="F6" i="2"/>
  <c r="I6" i="2" s="1"/>
  <c r="D6" i="7" s="1"/>
  <c r="J6" i="6" l="1"/>
  <c r="J6" i="5"/>
  <c r="J6" i="4"/>
  <c r="J6" i="3"/>
  <c r="J6" i="2"/>
  <c r="E7" i="6"/>
  <c r="E7" i="5"/>
  <c r="E7" i="4"/>
  <c r="E7" i="3"/>
  <c r="E7" i="2"/>
  <c r="F7" i="1"/>
  <c r="F7" i="6" l="1"/>
  <c r="I7" i="6" s="1"/>
  <c r="L7" i="7" s="1"/>
  <c r="F7" i="5"/>
  <c r="I7" i="5" s="1"/>
  <c r="J7" i="7" s="1"/>
  <c r="F7" i="4"/>
  <c r="I7" i="4" s="1"/>
  <c r="H7" i="7" s="1"/>
  <c r="F7" i="3"/>
  <c r="I7" i="3" s="1"/>
  <c r="F7" i="7" s="1"/>
  <c r="F7" i="2"/>
  <c r="E8" i="1"/>
  <c r="G7" i="1"/>
  <c r="I7" i="2" l="1"/>
  <c r="D7" i="7" s="1"/>
  <c r="F8" i="1"/>
  <c r="E8" i="6"/>
  <c r="E8" i="5"/>
  <c r="E8" i="4"/>
  <c r="E8" i="3"/>
  <c r="E8" i="2"/>
  <c r="J7" i="6"/>
  <c r="J7" i="5"/>
  <c r="J7" i="4"/>
  <c r="J7" i="3"/>
  <c r="J7" i="2"/>
  <c r="G8" i="1" l="1"/>
  <c r="F8" i="6"/>
  <c r="I8" i="6" s="1"/>
  <c r="L8" i="7" s="1"/>
  <c r="F8" i="5"/>
  <c r="I8" i="5" s="1"/>
  <c r="J8" i="7" s="1"/>
  <c r="F8" i="4"/>
  <c r="I8" i="4" s="1"/>
  <c r="H8" i="7" s="1"/>
  <c r="F8" i="3"/>
  <c r="I8" i="3" s="1"/>
  <c r="F8" i="7" s="1"/>
  <c r="F8" i="2"/>
  <c r="I8" i="2" s="1"/>
  <c r="D8" i="7" s="1"/>
  <c r="E9" i="1"/>
  <c r="E9" i="6" l="1"/>
  <c r="E9" i="5"/>
  <c r="E9" i="4"/>
  <c r="E9" i="3"/>
  <c r="E9" i="2"/>
  <c r="F9" i="1"/>
  <c r="J8" i="6"/>
  <c r="J8" i="5"/>
  <c r="J8" i="4"/>
  <c r="J8" i="3"/>
  <c r="J8" i="2"/>
  <c r="F9" i="6" l="1"/>
  <c r="I9" i="6" s="1"/>
  <c r="L9" i="7" s="1"/>
  <c r="F9" i="5"/>
  <c r="I9" i="5" s="1"/>
  <c r="J9" i="7" s="1"/>
  <c r="F9" i="4"/>
  <c r="I9" i="4" s="1"/>
  <c r="H9" i="7" s="1"/>
  <c r="F9" i="3"/>
  <c r="I9" i="3" s="1"/>
  <c r="F9" i="7" s="1"/>
  <c r="F9" i="2"/>
  <c r="I9" i="2" s="1"/>
  <c r="D9" i="7" s="1"/>
  <c r="E10" i="1"/>
  <c r="G9" i="1"/>
  <c r="F10" i="1" l="1"/>
  <c r="E10" i="6"/>
  <c r="E10" i="5"/>
  <c r="E10" i="4"/>
  <c r="E10" i="3"/>
  <c r="E10" i="2"/>
  <c r="J9" i="6"/>
  <c r="J9" i="5"/>
  <c r="J9" i="4"/>
  <c r="J9" i="3"/>
  <c r="J9" i="2"/>
  <c r="G10" i="1" l="1"/>
  <c r="F10" i="6"/>
  <c r="I10" i="6" s="1"/>
  <c r="L10" i="7" s="1"/>
  <c r="F10" i="5"/>
  <c r="I10" i="5" s="1"/>
  <c r="J10" i="7" s="1"/>
  <c r="F10" i="4"/>
  <c r="I10" i="4" s="1"/>
  <c r="H10" i="7" s="1"/>
  <c r="F10" i="3"/>
  <c r="I10" i="3" s="1"/>
  <c r="F10" i="7" s="1"/>
  <c r="F10" i="2"/>
  <c r="I10" i="2" s="1"/>
  <c r="D10" i="7" s="1"/>
  <c r="E11" i="1"/>
  <c r="E11" i="6" l="1"/>
  <c r="E11" i="5"/>
  <c r="E11" i="4"/>
  <c r="E11" i="3"/>
  <c r="E11" i="2"/>
  <c r="F11" i="1"/>
  <c r="J10" i="6"/>
  <c r="J10" i="5"/>
  <c r="J10" i="4"/>
  <c r="J10" i="3"/>
  <c r="J10" i="2"/>
  <c r="F11" i="6" l="1"/>
  <c r="I11" i="6" s="1"/>
  <c r="L11" i="7" s="1"/>
  <c r="F11" i="5"/>
  <c r="I11" i="5" s="1"/>
  <c r="J11" i="7" s="1"/>
  <c r="F11" i="4"/>
  <c r="I11" i="4" s="1"/>
  <c r="H11" i="7" s="1"/>
  <c r="F11" i="3"/>
  <c r="I11" i="3" s="1"/>
  <c r="F11" i="7" s="1"/>
  <c r="F11" i="2"/>
  <c r="I11" i="2" s="1"/>
  <c r="D11" i="7" s="1"/>
  <c r="E12" i="1"/>
  <c r="G11" i="1"/>
  <c r="F12" i="1" l="1"/>
  <c r="E12" i="6"/>
  <c r="E12" i="5"/>
  <c r="E12" i="4"/>
  <c r="E12" i="3"/>
  <c r="E12" i="2"/>
  <c r="J11" i="6"/>
  <c r="J11" i="5"/>
  <c r="J11" i="4"/>
  <c r="J11" i="3"/>
  <c r="J11" i="2"/>
  <c r="E13" i="1" l="1"/>
  <c r="G12" i="1"/>
  <c r="F12" i="6"/>
  <c r="I12" i="6" s="1"/>
  <c r="L12" i="7" s="1"/>
  <c r="F12" i="5"/>
  <c r="I12" i="5" s="1"/>
  <c r="J12" i="7" s="1"/>
  <c r="F12" i="4"/>
  <c r="I12" i="4" s="1"/>
  <c r="H12" i="7" s="1"/>
  <c r="F12" i="3"/>
  <c r="I12" i="3" s="1"/>
  <c r="F12" i="7" s="1"/>
  <c r="F12" i="2"/>
  <c r="I12" i="2" s="1"/>
  <c r="D12" i="7" s="1"/>
  <c r="J12" i="6" l="1"/>
  <c r="J12" i="5"/>
  <c r="J12" i="4"/>
  <c r="J12" i="3"/>
  <c r="J12" i="2"/>
  <c r="E13" i="6"/>
  <c r="E13" i="5"/>
  <c r="E13" i="4"/>
  <c r="E13" i="3"/>
  <c r="E13" i="2"/>
  <c r="F13" i="1"/>
  <c r="F13" i="6" l="1"/>
  <c r="I13" i="6" s="1"/>
  <c r="L13" i="7" s="1"/>
  <c r="F13" i="5"/>
  <c r="I13" i="5" s="1"/>
  <c r="J13" i="7" s="1"/>
  <c r="F13" i="4"/>
  <c r="I13" i="4" s="1"/>
  <c r="H13" i="7" s="1"/>
  <c r="F13" i="3"/>
  <c r="I13" i="3" s="1"/>
  <c r="F13" i="7" s="1"/>
  <c r="F13" i="2"/>
  <c r="I13" i="2" s="1"/>
  <c r="D13" i="7" s="1"/>
  <c r="E14" i="1"/>
  <c r="G13" i="1"/>
  <c r="J13" i="6" l="1"/>
  <c r="J13" i="5"/>
  <c r="J13" i="4"/>
  <c r="J13" i="3"/>
  <c r="J13" i="2"/>
  <c r="F14" i="1"/>
  <c r="E14" i="6"/>
  <c r="E14" i="5"/>
  <c r="E14" i="4"/>
  <c r="E14" i="3"/>
  <c r="E14" i="2"/>
  <c r="G14" i="1" l="1"/>
  <c r="F14" i="6"/>
  <c r="I14" i="6" s="1"/>
  <c r="L14" i="7" s="1"/>
  <c r="F14" i="5"/>
  <c r="I14" i="5" s="1"/>
  <c r="J14" i="7" s="1"/>
  <c r="F14" i="4"/>
  <c r="I14" i="4" s="1"/>
  <c r="H14" i="7" s="1"/>
  <c r="F14" i="3"/>
  <c r="I14" i="3" s="1"/>
  <c r="F14" i="7" s="1"/>
  <c r="F14" i="2"/>
  <c r="I14" i="2" s="1"/>
  <c r="D14" i="7" s="1"/>
  <c r="J14" i="6" l="1"/>
  <c r="J14" i="5"/>
  <c r="J14" i="4"/>
  <c r="J14" i="3"/>
  <c r="J14" i="2"/>
</calcChain>
</file>

<file path=xl/sharedStrings.xml><?xml version="1.0" encoding="utf-8"?>
<sst xmlns="http://schemas.openxmlformats.org/spreadsheetml/2006/main" count="79" uniqueCount="25">
  <si>
    <t>DATOS DEL ESCALÓN DE REFERENCIA (escalera acumulada)</t>
  </si>
  <si>
    <t>N° salto</t>
  </si>
  <si>
    <t>Tiempo (s)</t>
  </si>
  <si>
    <t>Incremento Δr (rad)</t>
  </si>
  <si>
    <t>Incremento Δr (°)</t>
  </si>
  <si>
    <t>Valor anterior (rad)</t>
  </si>
  <si>
    <t>Nivel objetivo (rad)</t>
  </si>
  <si>
    <t>Nivel objetivo (°)</t>
  </si>
  <si>
    <t>MÉTODO: PID Leonard (1994)</t>
  </si>
  <si>
    <t>Δr (rad)</t>
  </si>
  <si>
    <t>Δr (°)</t>
  </si>
  <si>
    <t>Pico observado (rad)</t>
  </si>
  <si>
    <t>Ts observado (s)</t>
  </si>
  <si>
    <t>Sobrepico (%)</t>
  </si>
  <si>
    <t>MÉTODO: PID Cluett y Wang (TCL)</t>
  </si>
  <si>
    <t>MÉTODO: PID Astrom y Hagglund</t>
  </si>
  <si>
    <t>MÉTODO: Asignacion de Polos</t>
  </si>
  <si>
    <t>MÉTODO: Metodo Rele e=1</t>
  </si>
  <si>
    <t>RESUMEN COMPARATIVO — SOBREPICO Y Ts POR SALTO Y MÉTODO</t>
  </si>
  <si>
    <t>PID Leonard (1994)</t>
  </si>
  <si>
    <t>PID Cluett y Wang (TCL)</t>
  </si>
  <si>
    <t>PID Astrom y Hagglund</t>
  </si>
  <si>
    <t>Asignacion de Polos</t>
  </si>
  <si>
    <t>Metodo Rele e=1</t>
  </si>
  <si>
    <t>Ts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</si>
</sst>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0.0000"/>
  </numFmts>
  <fonts count="7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9"/>
      <color rgb="FF7F7F7F"/>
      <name val="Arial"/>
      <charset val="1"/>
    </font>
    <font>
      <sz val="11"/>
      <color rgb="FFFFFFFF"/>
      <name val="Arial"/>
      <charset val="1"/>
    </font>
    <font>
      <b/>
      <sz val="11"/>
      <color rgb="FF000000"/>
      <name val="Arial"/>
      <charset val="1"/>
    </font>
    <font>
      <sz val="11"/>
      <color rgb="FF0000FF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165" fontId="5" fillId="3" borderId="1" xfId="0" applyNumberFormat="1" applyFont="1" applyFill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2" fillId="0" borderId="0" xfId="0" applyFont="1"/>
    <xf numFmtId="0" fontId="1" fillId="0" borderId="0" xfId="0" applyFont="1"/>
    <xf numFmtId="0" fontId="0" fillId="0" borderId="2" xfId="0" applyBorder="1"/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4"/>
  <sheetViews>
    <sheetView showGridLines="0" tabSelected="1" zoomScaleNormal="100" workbookViewId="0">
      <selection activeCell="E19" sqref="E19"/>
    </sheetView>
  </sheetViews>
  <sheetFormatPr baseColWidth="10" defaultColWidth="8.6640625" defaultRowHeight="14.4" x14ac:dyDescent="0.3"/>
  <cols>
    <col min="1" max="1" width="10" customWidth="1"/>
    <col min="2" max="2" width="12" customWidth="1"/>
    <col min="3" max="3" width="18" customWidth="1"/>
    <col min="4" max="4" width="16" customWidth="1"/>
    <col min="5" max="6" width="18" customWidth="1"/>
    <col min="7" max="7" width="16" customWidth="1"/>
  </cols>
  <sheetData>
    <row r="2" spans="1:7" ht="17.399999999999999" x14ac:dyDescent="0.3">
      <c r="A2" s="11" t="s">
        <v>0</v>
      </c>
      <c r="B2" s="11"/>
      <c r="C2" s="11"/>
      <c r="D2" s="11"/>
      <c r="E2" s="11"/>
      <c r="F2" s="11"/>
      <c r="G2" s="11"/>
    </row>
    <row r="4" spans="1:7" ht="27.6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x14ac:dyDescent="0.3">
      <c r="A5" s="2">
        <v>1</v>
      </c>
      <c r="B5" s="3">
        <v>1</v>
      </c>
      <c r="C5" s="4">
        <v>1.7453E-3</v>
      </c>
      <c r="D5" s="5">
        <f t="shared" ref="D5:D14" si="0">DEGREES(C5)</f>
        <v>9.9998323984182583E-2</v>
      </c>
      <c r="E5" s="6">
        <v>0</v>
      </c>
      <c r="F5" s="6">
        <f t="shared" ref="F5:F14" si="1">E5+C5</f>
        <v>1.7453E-3</v>
      </c>
      <c r="G5" s="5">
        <f t="shared" ref="G5:G14" si="2">DEGREES(F5)</f>
        <v>9.9998323984182583E-2</v>
      </c>
    </row>
    <row r="6" spans="1:7" x14ac:dyDescent="0.3">
      <c r="A6" s="2">
        <v>2</v>
      </c>
      <c r="B6" s="3">
        <v>4</v>
      </c>
      <c r="C6" s="4">
        <v>1.7453300000000001E-2</v>
      </c>
      <c r="D6" s="5">
        <f t="shared" si="0"/>
        <v>1.0000004285756798</v>
      </c>
      <c r="E6" s="6">
        <f t="shared" ref="E6:E14" si="3">F5</f>
        <v>1.7453E-3</v>
      </c>
      <c r="F6" s="6">
        <f t="shared" si="1"/>
        <v>1.9198600000000003E-2</v>
      </c>
      <c r="G6" s="5">
        <f t="shared" si="2"/>
        <v>1.0999987525598625</v>
      </c>
    </row>
    <row r="7" spans="1:7" x14ac:dyDescent="0.3">
      <c r="A7" s="2">
        <v>3</v>
      </c>
      <c r="B7" s="3">
        <v>15</v>
      </c>
      <c r="C7" s="4">
        <v>8.7266499999999997E-2</v>
      </c>
      <c r="D7" s="5">
        <f t="shared" si="0"/>
        <v>5.0000021428783983</v>
      </c>
      <c r="E7" s="6">
        <f t="shared" si="3"/>
        <v>1.9198600000000003E-2</v>
      </c>
      <c r="F7" s="6">
        <f t="shared" si="1"/>
        <v>0.10646510000000001</v>
      </c>
      <c r="G7" s="5">
        <f t="shared" si="2"/>
        <v>6.100000895438261</v>
      </c>
    </row>
    <row r="8" spans="1:7" x14ac:dyDescent="0.3">
      <c r="A8" s="2">
        <v>4</v>
      </c>
      <c r="B8" s="3">
        <v>26</v>
      </c>
      <c r="C8" s="4">
        <v>0.17453289999999999</v>
      </c>
      <c r="D8" s="5">
        <f t="shared" si="0"/>
        <v>9.9999985561788449</v>
      </c>
      <c r="E8" s="6">
        <f t="shared" si="3"/>
        <v>0.10646510000000001</v>
      </c>
      <c r="F8" s="6">
        <f t="shared" si="1"/>
        <v>0.28099799999999997</v>
      </c>
      <c r="G8" s="5">
        <f t="shared" si="2"/>
        <v>16.099999451617105</v>
      </c>
    </row>
    <row r="9" spans="1:7" x14ac:dyDescent="0.3">
      <c r="A9" s="2">
        <v>5</v>
      </c>
      <c r="B9" s="3">
        <v>38</v>
      </c>
      <c r="C9" s="4">
        <v>0.34906589999999998</v>
      </c>
      <c r="D9" s="5">
        <f t="shared" si="0"/>
        <v>20.000002841935643</v>
      </c>
      <c r="E9" s="6">
        <f t="shared" si="3"/>
        <v>0.28099799999999997</v>
      </c>
      <c r="F9" s="6">
        <f t="shared" si="1"/>
        <v>0.6300638999999999</v>
      </c>
      <c r="G9" s="5">
        <f t="shared" si="2"/>
        <v>36.100002293552741</v>
      </c>
    </row>
    <row r="10" spans="1:7" x14ac:dyDescent="0.3">
      <c r="A10" s="2">
        <v>6</v>
      </c>
      <c r="B10" s="3">
        <v>48</v>
      </c>
      <c r="C10" s="4">
        <v>0.52359880000000003</v>
      </c>
      <c r="D10" s="5">
        <f t="shared" si="0"/>
        <v>30.000001398114492</v>
      </c>
      <c r="E10" s="6">
        <f t="shared" si="3"/>
        <v>0.6300638999999999</v>
      </c>
      <c r="F10" s="6">
        <f t="shared" si="1"/>
        <v>1.1536626999999999</v>
      </c>
      <c r="G10" s="5">
        <f t="shared" si="2"/>
        <v>66.10000369166724</v>
      </c>
    </row>
    <row r="11" spans="1:7" x14ac:dyDescent="0.3">
      <c r="A11" s="2">
        <v>7</v>
      </c>
      <c r="B11" s="3">
        <v>58</v>
      </c>
      <c r="C11" s="4">
        <v>0.78539820000000005</v>
      </c>
      <c r="D11" s="5">
        <f t="shared" si="0"/>
        <v>45.000002097171738</v>
      </c>
      <c r="E11" s="6">
        <f t="shared" si="3"/>
        <v>1.1536626999999999</v>
      </c>
      <c r="F11" s="6">
        <f t="shared" si="1"/>
        <v>1.9390608999999999</v>
      </c>
      <c r="G11" s="5">
        <f t="shared" si="2"/>
        <v>111.10000578883896</v>
      </c>
    </row>
    <row r="12" spans="1:7" x14ac:dyDescent="0.3">
      <c r="A12" s="2">
        <v>8</v>
      </c>
      <c r="B12" s="3">
        <v>68</v>
      </c>
      <c r="C12" s="4">
        <v>1.0471976000000001</v>
      </c>
      <c r="D12" s="5">
        <f t="shared" si="0"/>
        <v>60.000002796228983</v>
      </c>
      <c r="E12" s="6">
        <f t="shared" si="3"/>
        <v>1.9390608999999999</v>
      </c>
      <c r="F12" s="6">
        <f t="shared" si="1"/>
        <v>2.9862584999999999</v>
      </c>
      <c r="G12" s="5">
        <f t="shared" si="2"/>
        <v>171.10000858506794</v>
      </c>
    </row>
    <row r="13" spans="1:7" x14ac:dyDescent="0.3">
      <c r="A13" s="2">
        <v>9</v>
      </c>
      <c r="B13" s="3">
        <v>78</v>
      </c>
      <c r="C13" s="4">
        <v>1.5707963</v>
      </c>
      <c r="D13" s="5">
        <f t="shared" si="0"/>
        <v>89.999998464765511</v>
      </c>
      <c r="E13" s="6">
        <f t="shared" si="3"/>
        <v>2.9862584999999999</v>
      </c>
      <c r="F13" s="6">
        <f t="shared" si="1"/>
        <v>4.5570547999999995</v>
      </c>
      <c r="G13" s="5">
        <f t="shared" si="2"/>
        <v>261.10000704983344</v>
      </c>
    </row>
    <row r="14" spans="1:7" x14ac:dyDescent="0.3">
      <c r="A14" s="2">
        <v>10</v>
      </c>
      <c r="B14" s="3">
        <v>88</v>
      </c>
      <c r="C14" s="4">
        <v>2.2689279999999998</v>
      </c>
      <c r="D14" s="5">
        <f t="shared" si="0"/>
        <v>129.99999841905884</v>
      </c>
      <c r="E14" s="6">
        <f t="shared" si="3"/>
        <v>4.5570547999999995</v>
      </c>
      <c r="F14" s="6">
        <f t="shared" si="1"/>
        <v>6.8259827999999994</v>
      </c>
      <c r="G14" s="5">
        <f t="shared" si="2"/>
        <v>391.10000546889228</v>
      </c>
    </row>
  </sheetData>
  <mergeCells count="1"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16"/>
  <sheetViews>
    <sheetView showGridLines="0" zoomScaleNormal="100" workbookViewId="0">
      <selection activeCell="H23" sqref="H23"/>
    </sheetView>
  </sheetViews>
  <sheetFormatPr baseColWidth="10" defaultColWidth="8.6640625" defaultRowHeight="14.4" x14ac:dyDescent="0.3"/>
  <cols>
    <col min="1" max="1" width="9" customWidth="1"/>
    <col min="2" max="2" width="11" customWidth="1"/>
    <col min="3" max="3" width="13" customWidth="1"/>
    <col min="4" max="4" width="10" customWidth="1"/>
    <col min="5" max="6" width="15" customWidth="1"/>
    <col min="7" max="7" width="16" customWidth="1"/>
    <col min="8" max="8" width="12" customWidth="1"/>
    <col min="9" max="9" width="13" customWidth="1"/>
    <col min="10" max="10" width="15" customWidth="1"/>
  </cols>
  <sheetData>
    <row r="2" spans="1:10" ht="17.399999999999999" x14ac:dyDescent="0.3">
      <c r="A2" s="11" t="s">
        <v>8</v>
      </c>
      <c r="B2" s="11"/>
      <c r="C2" s="11"/>
      <c r="D2" s="11"/>
      <c r="E2" s="11"/>
      <c r="F2" s="11"/>
      <c r="G2" s="11"/>
      <c r="H2" s="11"/>
      <c r="I2" s="11"/>
      <c r="J2" s="11"/>
    </row>
    <row r="4" spans="1:10" ht="41.4" x14ac:dyDescent="0.3">
      <c r="A4" s="1" t="s">
        <v>1</v>
      </c>
      <c r="B4" s="1" t="s">
        <v>2</v>
      </c>
      <c r="C4" s="1" t="s">
        <v>9</v>
      </c>
      <c r="D4" s="1" t="s">
        <v>10</v>
      </c>
      <c r="E4" s="1" t="s">
        <v>5</v>
      </c>
      <c r="F4" s="1" t="s">
        <v>6</v>
      </c>
      <c r="G4" s="1" t="s">
        <v>11</v>
      </c>
      <c r="H4" s="1" t="s">
        <v>12</v>
      </c>
      <c r="I4" s="1" t="s">
        <v>13</v>
      </c>
      <c r="J4" s="1" t="s">
        <v>7</v>
      </c>
    </row>
    <row r="5" spans="1:10" x14ac:dyDescent="0.3">
      <c r="A5" s="2">
        <f>Datos_Escalon!A5</f>
        <v>1</v>
      </c>
      <c r="B5" s="7">
        <f>Datos_Escalon!B5</f>
        <v>1</v>
      </c>
      <c r="C5" s="6">
        <f>Datos_Escalon!C5</f>
        <v>1.7453E-3</v>
      </c>
      <c r="D5" s="5">
        <f>Datos_Escalon!D5</f>
        <v>9.9998323984182583E-2</v>
      </c>
      <c r="E5" s="6">
        <f>Datos_Escalon!E5</f>
        <v>0</v>
      </c>
      <c r="F5" s="6">
        <f>Datos_Escalon!F5</f>
        <v>1.7453E-3</v>
      </c>
      <c r="G5" s="4">
        <v>1.89E-3</v>
      </c>
      <c r="H5" s="8">
        <v>0.89880000000000004</v>
      </c>
      <c r="I5" s="9">
        <f t="shared" ref="I5:I14" si="0">IFERROR((G5-F5)/C5*100,"")</f>
        <v>8.2908382513035015</v>
      </c>
      <c r="J5" s="5">
        <f>Datos_Escalon!G5</f>
        <v>9.9998323984182583E-2</v>
      </c>
    </row>
    <row r="6" spans="1:10" x14ac:dyDescent="0.3">
      <c r="A6" s="2">
        <f>Datos_Escalon!A6</f>
        <v>2</v>
      </c>
      <c r="B6" s="7">
        <f>Datos_Escalon!B6</f>
        <v>4</v>
      </c>
      <c r="C6" s="6">
        <f>Datos_Escalon!C6</f>
        <v>1.7453300000000001E-2</v>
      </c>
      <c r="D6" s="5">
        <f>Datos_Escalon!D6</f>
        <v>1.0000004285756798</v>
      </c>
      <c r="E6" s="6">
        <f>Datos_Escalon!E6</f>
        <v>1.7453E-3</v>
      </c>
      <c r="F6" s="6">
        <f>Datos_Escalon!F6</f>
        <v>1.9198600000000003E-2</v>
      </c>
      <c r="G6" s="4">
        <v>2.1299999999999999E-2</v>
      </c>
      <c r="H6" s="8">
        <v>1.7</v>
      </c>
      <c r="I6" s="9">
        <f t="shared" si="0"/>
        <v>12.040129946772222</v>
      </c>
      <c r="J6" s="5">
        <f>Datos_Escalon!G6</f>
        <v>1.0999987525598625</v>
      </c>
    </row>
    <row r="7" spans="1:10" x14ac:dyDescent="0.3">
      <c r="A7" s="2">
        <f>Datos_Escalon!A7</f>
        <v>3</v>
      </c>
      <c r="B7" s="7">
        <f>Datos_Escalon!B7</f>
        <v>15</v>
      </c>
      <c r="C7" s="6">
        <f>Datos_Escalon!C7</f>
        <v>8.7266499999999997E-2</v>
      </c>
      <c r="D7" s="5">
        <f>Datos_Escalon!D7</f>
        <v>5.0000021428783983</v>
      </c>
      <c r="E7" s="6">
        <f>Datos_Escalon!E7</f>
        <v>1.9198600000000003E-2</v>
      </c>
      <c r="F7" s="6">
        <f>Datos_Escalon!F7</f>
        <v>0.10646510000000001</v>
      </c>
      <c r="G7" s="4">
        <v>0.11700000000000001</v>
      </c>
      <c r="H7" s="8">
        <v>2.1</v>
      </c>
      <c r="I7" s="9">
        <f>IFERROR((G7-F7)/C7*100,"")</f>
        <v>12.072100978038538</v>
      </c>
      <c r="J7" s="5">
        <f>Datos_Escalon!G7</f>
        <v>6.100000895438261</v>
      </c>
    </row>
    <row r="8" spans="1:10" x14ac:dyDescent="0.3">
      <c r="A8" s="2">
        <f>Datos_Escalon!A8</f>
        <v>4</v>
      </c>
      <c r="B8" s="7">
        <f>Datos_Escalon!B8</f>
        <v>26</v>
      </c>
      <c r="C8" s="6">
        <f>Datos_Escalon!C8</f>
        <v>0.17453289999999999</v>
      </c>
      <c r="D8" s="5">
        <f>Datos_Escalon!D8</f>
        <v>9.9999985561788449</v>
      </c>
      <c r="E8" s="6">
        <f>Datos_Escalon!E8</f>
        <v>0.10646510000000001</v>
      </c>
      <c r="F8" s="6">
        <f>Datos_Escalon!F8</f>
        <v>0.28099799999999997</v>
      </c>
      <c r="G8" s="4">
        <v>0.30209999999999998</v>
      </c>
      <c r="H8" s="8">
        <v>2.5</v>
      </c>
      <c r="I8" s="9">
        <f t="shared" si="0"/>
        <v>12.090557138510855</v>
      </c>
      <c r="J8" s="5">
        <f>Datos_Escalon!G8</f>
        <v>16.099999451617105</v>
      </c>
    </row>
    <row r="9" spans="1:10" x14ac:dyDescent="0.3">
      <c r="A9" s="2">
        <f>Datos_Escalon!A9</f>
        <v>5</v>
      </c>
      <c r="B9" s="7">
        <f>Datos_Escalon!B9</f>
        <v>38</v>
      </c>
      <c r="C9" s="6">
        <f>Datos_Escalon!C9</f>
        <v>0.34906589999999998</v>
      </c>
      <c r="D9" s="5">
        <f>Datos_Escalon!D9</f>
        <v>20.000002841935643</v>
      </c>
      <c r="E9" s="6">
        <f>Datos_Escalon!E9</f>
        <v>0.28099799999999997</v>
      </c>
      <c r="F9" s="6">
        <f>Datos_Escalon!F9</f>
        <v>0.6300638999999999</v>
      </c>
      <c r="G9" s="4">
        <v>0.67230000000000001</v>
      </c>
      <c r="H9" s="8">
        <v>2.7</v>
      </c>
      <c r="I9" s="9">
        <f t="shared" si="0"/>
        <v>12.099749646127025</v>
      </c>
      <c r="J9" s="5">
        <f>Datos_Escalon!G9</f>
        <v>36.100002293552741</v>
      </c>
    </row>
    <row r="10" spans="1:10" x14ac:dyDescent="0.3">
      <c r="A10" s="2">
        <f>Datos_Escalon!A10</f>
        <v>6</v>
      </c>
      <c r="B10" s="7">
        <f>Datos_Escalon!B10</f>
        <v>48</v>
      </c>
      <c r="C10" s="6">
        <f>Datos_Escalon!C10</f>
        <v>0.52359880000000003</v>
      </c>
      <c r="D10" s="5">
        <f>Datos_Escalon!D10</f>
        <v>30.000001398114492</v>
      </c>
      <c r="E10" s="6">
        <f>Datos_Escalon!E10</f>
        <v>0.6300638999999999</v>
      </c>
      <c r="F10" s="6">
        <f>Datos_Escalon!F10</f>
        <v>1.1536626999999999</v>
      </c>
      <c r="G10" s="4">
        <v>1.2170000000000001</v>
      </c>
      <c r="H10" s="8">
        <v>2.7</v>
      </c>
      <c r="I10" s="9">
        <f t="shared" si="0"/>
        <v>12.096532688768605</v>
      </c>
      <c r="J10" s="5">
        <f>Datos_Escalon!G10</f>
        <v>66.10000369166724</v>
      </c>
    </row>
    <row r="11" spans="1:10" x14ac:dyDescent="0.3">
      <c r="A11" s="2">
        <f>Datos_Escalon!A11</f>
        <v>7</v>
      </c>
      <c r="B11" s="7">
        <f>Datos_Escalon!B11</f>
        <v>58</v>
      </c>
      <c r="C11" s="6">
        <f>Datos_Escalon!C11</f>
        <v>0.78539820000000005</v>
      </c>
      <c r="D11" s="5">
        <f>Datos_Escalon!D11</f>
        <v>45.000002097171738</v>
      </c>
      <c r="E11" s="6">
        <f>Datos_Escalon!E11</f>
        <v>1.1536626999999999</v>
      </c>
      <c r="F11" s="6">
        <f>Datos_Escalon!F11</f>
        <v>1.9390608999999999</v>
      </c>
      <c r="G11" s="4">
        <v>2.0339999999999998</v>
      </c>
      <c r="H11" s="8">
        <v>2.7</v>
      </c>
      <c r="I11" s="9">
        <f t="shared" si="0"/>
        <v>12.088021082808687</v>
      </c>
      <c r="J11" s="5">
        <f>Datos_Escalon!G11</f>
        <v>111.10000578883896</v>
      </c>
    </row>
    <row r="12" spans="1:10" x14ac:dyDescent="0.3">
      <c r="A12" s="2">
        <f>Datos_Escalon!A12</f>
        <v>8</v>
      </c>
      <c r="B12" s="7">
        <f>Datos_Escalon!B12</f>
        <v>68</v>
      </c>
      <c r="C12" s="6">
        <f>Datos_Escalon!C12</f>
        <v>1.0471976000000001</v>
      </c>
      <c r="D12" s="5">
        <f>Datos_Escalon!D12</f>
        <v>60.000002796228983</v>
      </c>
      <c r="E12" s="6">
        <f>Datos_Escalon!E12</f>
        <v>1.9390608999999999</v>
      </c>
      <c r="F12" s="6">
        <f>Datos_Escalon!F12</f>
        <v>2.9862584999999999</v>
      </c>
      <c r="G12" s="4">
        <v>3.113</v>
      </c>
      <c r="H12" s="8">
        <v>2.8</v>
      </c>
      <c r="I12" s="9">
        <f t="shared" si="0"/>
        <v>12.102921167886564</v>
      </c>
      <c r="J12" s="5">
        <f>Datos_Escalon!G12</f>
        <v>171.10000858506794</v>
      </c>
    </row>
    <row r="13" spans="1:10" x14ac:dyDescent="0.3">
      <c r="A13" s="2">
        <f>Datos_Escalon!A13</f>
        <v>9</v>
      </c>
      <c r="B13" s="7">
        <f>Datos_Escalon!B13</f>
        <v>78</v>
      </c>
      <c r="C13" s="6">
        <f>Datos_Escalon!C13</f>
        <v>1.5707963</v>
      </c>
      <c r="D13" s="5">
        <f>Datos_Escalon!D13</f>
        <v>89.999998464765511</v>
      </c>
      <c r="E13" s="6">
        <f>Datos_Escalon!E13</f>
        <v>2.9862584999999999</v>
      </c>
      <c r="F13" s="6">
        <f>Datos_Escalon!F13</f>
        <v>4.5570547999999995</v>
      </c>
      <c r="G13" s="4">
        <v>4.7470999999999997</v>
      </c>
      <c r="H13" s="8">
        <v>2.8</v>
      </c>
      <c r="I13" s="9">
        <f t="shared" si="0"/>
        <v>12.098653402735932</v>
      </c>
      <c r="J13" s="5">
        <f>Datos_Escalon!G13</f>
        <v>261.10000704983344</v>
      </c>
    </row>
    <row r="14" spans="1:10" x14ac:dyDescent="0.3">
      <c r="A14" s="2">
        <f>Datos_Escalon!A14</f>
        <v>10</v>
      </c>
      <c r="B14" s="7">
        <f>Datos_Escalon!B14</f>
        <v>88</v>
      </c>
      <c r="C14" s="6">
        <f>Datos_Escalon!C14</f>
        <v>2.2689279999999998</v>
      </c>
      <c r="D14" s="5">
        <f>Datos_Escalon!D14</f>
        <v>129.99999841905884</v>
      </c>
      <c r="E14" s="6">
        <f>Datos_Escalon!E14</f>
        <v>4.5570547999999995</v>
      </c>
      <c r="F14" s="6">
        <f>Datos_Escalon!F14</f>
        <v>6.8259827999999994</v>
      </c>
      <c r="G14" s="4">
        <v>7.0995999999999997</v>
      </c>
      <c r="H14" s="8">
        <v>2.8</v>
      </c>
      <c r="I14" s="9">
        <f t="shared" si="0"/>
        <v>12.05931611756743</v>
      </c>
      <c r="J14" s="5">
        <f>Datos_Escalon!G14</f>
        <v>391.10000546889228</v>
      </c>
    </row>
    <row r="16" spans="1:10" ht="27.75" customHeight="1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</row>
  </sheetData>
  <mergeCells count="1"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16"/>
  <sheetViews>
    <sheetView showGridLines="0" zoomScaleNormal="100" workbookViewId="0">
      <selection activeCell="B18" sqref="B18"/>
    </sheetView>
  </sheetViews>
  <sheetFormatPr baseColWidth="10" defaultColWidth="8.6640625" defaultRowHeight="14.4" x14ac:dyDescent="0.3"/>
  <cols>
    <col min="1" max="1" width="9" customWidth="1"/>
    <col min="2" max="2" width="11" customWidth="1"/>
    <col min="3" max="3" width="13" customWidth="1"/>
    <col min="4" max="4" width="10" customWidth="1"/>
    <col min="5" max="6" width="15" customWidth="1"/>
    <col min="7" max="7" width="16" customWidth="1"/>
    <col min="8" max="8" width="12" customWidth="1"/>
    <col min="9" max="9" width="13" customWidth="1"/>
    <col min="10" max="10" width="15" customWidth="1"/>
  </cols>
  <sheetData>
    <row r="2" spans="1:10" ht="17.399999999999999" x14ac:dyDescent="0.3">
      <c r="A2" s="11" t="s">
        <v>15</v>
      </c>
      <c r="B2" s="11"/>
      <c r="C2" s="11"/>
      <c r="D2" s="11"/>
      <c r="E2" s="11"/>
      <c r="F2" s="11"/>
      <c r="G2" s="11"/>
      <c r="H2" s="11"/>
      <c r="I2" s="11"/>
      <c r="J2" s="11"/>
    </row>
    <row r="4" spans="1:10" ht="41.4" x14ac:dyDescent="0.3">
      <c r="A4" s="1" t="s">
        <v>1</v>
      </c>
      <c r="B4" s="1" t="s">
        <v>2</v>
      </c>
      <c r="C4" s="1" t="s">
        <v>9</v>
      </c>
      <c r="D4" s="1" t="s">
        <v>10</v>
      </c>
      <c r="E4" s="1" t="s">
        <v>5</v>
      </c>
      <c r="F4" s="1" t="s">
        <v>6</v>
      </c>
      <c r="G4" s="1" t="s">
        <v>11</v>
      </c>
      <c r="H4" s="1" t="s">
        <v>12</v>
      </c>
      <c r="I4" s="1" t="s">
        <v>13</v>
      </c>
      <c r="J4" s="1" t="s">
        <v>7</v>
      </c>
    </row>
    <row r="5" spans="1:10" x14ac:dyDescent="0.3">
      <c r="A5" s="2">
        <f>Datos_Escalon!A5</f>
        <v>1</v>
      </c>
      <c r="B5" s="7">
        <f>Datos_Escalon!B5</f>
        <v>1</v>
      </c>
      <c r="C5" s="6">
        <f>Datos_Escalon!C5</f>
        <v>1.7453E-3</v>
      </c>
      <c r="D5" s="5">
        <f>Datos_Escalon!D5</f>
        <v>9.9998323984182583E-2</v>
      </c>
      <c r="E5" s="6">
        <f>Datos_Escalon!E5</f>
        <v>0</v>
      </c>
      <c r="F5" s="6">
        <f>Datos_Escalon!F5</f>
        <v>1.7453E-3</v>
      </c>
      <c r="G5" s="4">
        <v>2.0999999999999999E-3</v>
      </c>
      <c r="H5" s="8">
        <v>0.89880000000000004</v>
      </c>
      <c r="I5" s="9">
        <f t="shared" ref="I5:I14" si="0">IFERROR((G5-F5)/C5*100,"")</f>
        <v>20.323153612559437</v>
      </c>
      <c r="J5" s="5">
        <f>Datos_Escalon!G5</f>
        <v>9.9998323984182583E-2</v>
      </c>
    </row>
    <row r="6" spans="1:10" x14ac:dyDescent="0.3">
      <c r="A6" s="2">
        <f>Datos_Escalon!A6</f>
        <v>2</v>
      </c>
      <c r="B6" s="7">
        <f>Datos_Escalon!B6</f>
        <v>4</v>
      </c>
      <c r="C6" s="6">
        <f>Datos_Escalon!C6</f>
        <v>1.7453300000000001E-2</v>
      </c>
      <c r="D6" s="5">
        <f>Datos_Escalon!D6</f>
        <v>1.0000004285756798</v>
      </c>
      <c r="E6" s="6">
        <f>Datos_Escalon!E6</f>
        <v>1.7453E-3</v>
      </c>
      <c r="F6" s="6">
        <f>Datos_Escalon!F6</f>
        <v>1.9198600000000003E-2</v>
      </c>
      <c r="G6" s="4">
        <v>2.2599999999999999E-2</v>
      </c>
      <c r="H6" s="8">
        <v>1.4</v>
      </c>
      <c r="I6" s="9">
        <f t="shared" si="0"/>
        <v>19.488578091249192</v>
      </c>
      <c r="J6" s="5">
        <f>Datos_Escalon!G6</f>
        <v>1.0999987525598625</v>
      </c>
    </row>
    <row r="7" spans="1:10" x14ac:dyDescent="0.3">
      <c r="A7" s="2">
        <f>Datos_Escalon!A7</f>
        <v>3</v>
      </c>
      <c r="B7" s="7">
        <f>Datos_Escalon!B7</f>
        <v>15</v>
      </c>
      <c r="C7" s="6">
        <f>Datos_Escalon!C7</f>
        <v>8.7266499999999997E-2</v>
      </c>
      <c r="D7" s="5">
        <f>Datos_Escalon!D7</f>
        <v>5.0000021428783983</v>
      </c>
      <c r="E7" s="6">
        <f>Datos_Escalon!E7</f>
        <v>1.9198600000000003E-2</v>
      </c>
      <c r="F7" s="6">
        <f>Datos_Escalon!F7</f>
        <v>0.10646510000000001</v>
      </c>
      <c r="G7" s="4">
        <v>0.12330000000000001</v>
      </c>
      <c r="H7" s="8">
        <v>1.5</v>
      </c>
      <c r="I7" s="9">
        <f t="shared" si="0"/>
        <v>19.291366102685455</v>
      </c>
      <c r="J7" s="5">
        <f>Datos_Escalon!G7</f>
        <v>6.100000895438261</v>
      </c>
    </row>
    <row r="8" spans="1:10" x14ac:dyDescent="0.3">
      <c r="A8" s="2">
        <f>Datos_Escalon!A8</f>
        <v>4</v>
      </c>
      <c r="B8" s="7">
        <f>Datos_Escalon!B8</f>
        <v>26</v>
      </c>
      <c r="C8" s="6">
        <f>Datos_Escalon!C8</f>
        <v>0.17453289999999999</v>
      </c>
      <c r="D8" s="5">
        <f>Datos_Escalon!D8</f>
        <v>9.9999985561788449</v>
      </c>
      <c r="E8" s="6">
        <f>Datos_Escalon!E8</f>
        <v>0.10646510000000001</v>
      </c>
      <c r="F8" s="6">
        <f>Datos_Escalon!F8</f>
        <v>0.28099799999999997</v>
      </c>
      <c r="G8" s="4">
        <v>0.31430000000000002</v>
      </c>
      <c r="H8" s="8">
        <v>1.6</v>
      </c>
      <c r="I8" s="9">
        <f t="shared" si="0"/>
        <v>19.080643248350341</v>
      </c>
      <c r="J8" s="5">
        <f>Datos_Escalon!G8</f>
        <v>16.099999451617105</v>
      </c>
    </row>
    <row r="9" spans="1:10" x14ac:dyDescent="0.3">
      <c r="A9" s="2">
        <f>Datos_Escalon!A9</f>
        <v>5</v>
      </c>
      <c r="B9" s="7">
        <f>Datos_Escalon!B9</f>
        <v>38</v>
      </c>
      <c r="C9" s="6">
        <f>Datos_Escalon!C9</f>
        <v>0.34906589999999998</v>
      </c>
      <c r="D9" s="5">
        <f>Datos_Escalon!D9</f>
        <v>20.000002841935643</v>
      </c>
      <c r="E9" s="6">
        <f>Datos_Escalon!E9</f>
        <v>0.28099799999999997</v>
      </c>
      <c r="F9" s="6">
        <f>Datos_Escalon!F9</f>
        <v>0.6300638999999999</v>
      </c>
      <c r="G9" s="4">
        <v>0.69669999999999999</v>
      </c>
      <c r="H9" s="8">
        <v>1.6</v>
      </c>
      <c r="I9" s="9">
        <f t="shared" si="0"/>
        <v>19.089833753454602</v>
      </c>
      <c r="J9" s="5">
        <f>Datos_Escalon!G9</f>
        <v>36.100002293552741</v>
      </c>
    </row>
    <row r="10" spans="1:10" x14ac:dyDescent="0.3">
      <c r="A10" s="2">
        <f>Datos_Escalon!A10</f>
        <v>6</v>
      </c>
      <c r="B10" s="7">
        <f>Datos_Escalon!B10</f>
        <v>48</v>
      </c>
      <c r="C10" s="6">
        <f>Datos_Escalon!C10</f>
        <v>0.52359880000000003</v>
      </c>
      <c r="D10" s="5">
        <f>Datos_Escalon!D10</f>
        <v>30.000001398114492</v>
      </c>
      <c r="E10" s="6">
        <f>Datos_Escalon!E10</f>
        <v>0.6300638999999999</v>
      </c>
      <c r="F10" s="6">
        <f>Datos_Escalon!F10</f>
        <v>1.1536626999999999</v>
      </c>
      <c r="G10" s="4">
        <v>1.2537</v>
      </c>
      <c r="H10" s="8">
        <v>1.6</v>
      </c>
      <c r="I10" s="9">
        <f t="shared" si="0"/>
        <v>19.105716055880972</v>
      </c>
      <c r="J10" s="5">
        <f>Datos_Escalon!G10</f>
        <v>66.10000369166724</v>
      </c>
    </row>
    <row r="11" spans="1:10" x14ac:dyDescent="0.3">
      <c r="A11" s="2">
        <f>Datos_Escalon!A11</f>
        <v>7</v>
      </c>
      <c r="B11" s="7">
        <f>Datos_Escalon!B11</f>
        <v>58</v>
      </c>
      <c r="C11" s="6">
        <f>Datos_Escalon!C11</f>
        <v>0.78539820000000005</v>
      </c>
      <c r="D11" s="5">
        <f>Datos_Escalon!D11</f>
        <v>45.000002097171738</v>
      </c>
      <c r="E11" s="6">
        <f>Datos_Escalon!E11</f>
        <v>1.1536626999999999</v>
      </c>
      <c r="F11" s="6">
        <f>Datos_Escalon!F11</f>
        <v>1.9390608999999999</v>
      </c>
      <c r="G11" s="4">
        <v>2.089</v>
      </c>
      <c r="H11" s="8">
        <v>1.6</v>
      </c>
      <c r="I11" s="9">
        <f t="shared" si="0"/>
        <v>19.090838252494098</v>
      </c>
      <c r="J11" s="5">
        <f>Datos_Escalon!G11</f>
        <v>111.10000578883896</v>
      </c>
    </row>
    <row r="12" spans="1:10" x14ac:dyDescent="0.3">
      <c r="A12" s="2">
        <f>Datos_Escalon!A12</f>
        <v>8</v>
      </c>
      <c r="B12" s="7">
        <f>Datos_Escalon!B12</f>
        <v>68</v>
      </c>
      <c r="C12" s="6">
        <f>Datos_Escalon!C12</f>
        <v>1.0471976000000001</v>
      </c>
      <c r="D12" s="5">
        <f>Datos_Escalon!D12</f>
        <v>60.000002796228983</v>
      </c>
      <c r="E12" s="6">
        <f>Datos_Escalon!E12</f>
        <v>1.9390608999999999</v>
      </c>
      <c r="F12" s="6">
        <f>Datos_Escalon!F12</f>
        <v>2.9862584999999999</v>
      </c>
      <c r="G12" s="4">
        <v>3.1854</v>
      </c>
      <c r="H12" s="8">
        <v>1.7</v>
      </c>
      <c r="I12" s="9">
        <f t="shared" si="0"/>
        <v>19.01661157359414</v>
      </c>
      <c r="J12" s="5">
        <f>Datos_Escalon!G12</f>
        <v>171.10000858506794</v>
      </c>
    </row>
    <row r="13" spans="1:10" x14ac:dyDescent="0.3">
      <c r="A13" s="2">
        <f>Datos_Escalon!A13</f>
        <v>9</v>
      </c>
      <c r="B13" s="7">
        <f>Datos_Escalon!B13</f>
        <v>78</v>
      </c>
      <c r="C13" s="6">
        <f>Datos_Escalon!C13</f>
        <v>1.5707963</v>
      </c>
      <c r="D13" s="5">
        <f>Datos_Escalon!D13</f>
        <v>89.999998464765511</v>
      </c>
      <c r="E13" s="6">
        <f>Datos_Escalon!E13</f>
        <v>2.9862584999999999</v>
      </c>
      <c r="F13" s="6">
        <f>Datos_Escalon!F13</f>
        <v>4.5570547999999995</v>
      </c>
      <c r="G13" s="4">
        <v>4.8570000000000002</v>
      </c>
      <c r="H13" s="8">
        <v>1.7</v>
      </c>
      <c r="I13" s="9">
        <f t="shared" si="0"/>
        <v>19.09510482040228</v>
      </c>
      <c r="J13" s="5">
        <f>Datos_Escalon!G13</f>
        <v>261.10000704983344</v>
      </c>
    </row>
    <row r="14" spans="1:10" x14ac:dyDescent="0.3">
      <c r="A14" s="2">
        <f>Datos_Escalon!A14</f>
        <v>10</v>
      </c>
      <c r="B14" s="7">
        <f>Datos_Escalon!B14</f>
        <v>88</v>
      </c>
      <c r="C14" s="6">
        <f>Datos_Escalon!C14</f>
        <v>2.2689279999999998</v>
      </c>
      <c r="D14" s="5">
        <f>Datos_Escalon!D14</f>
        <v>129.99999841905884</v>
      </c>
      <c r="E14" s="6">
        <f>Datos_Escalon!E14</f>
        <v>4.5570547999999995</v>
      </c>
      <c r="F14" s="6">
        <f>Datos_Escalon!F14</f>
        <v>6.8259827999999994</v>
      </c>
      <c r="G14" s="4">
        <v>7.2572000000000001</v>
      </c>
      <c r="H14" s="8">
        <v>1.7</v>
      </c>
      <c r="I14" s="9">
        <f t="shared" si="0"/>
        <v>19.005327626086011</v>
      </c>
      <c r="J14" s="5">
        <f>Datos_Escalon!G14</f>
        <v>391.10000546889228</v>
      </c>
    </row>
    <row r="16" spans="1:10" ht="27.75" customHeight="1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</row>
  </sheetData>
  <mergeCells count="1"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J16"/>
  <sheetViews>
    <sheetView showGridLines="0" zoomScaleNormal="100" workbookViewId="0">
      <selection activeCell="A16" sqref="A16:J16"/>
    </sheetView>
  </sheetViews>
  <sheetFormatPr baseColWidth="10" defaultColWidth="8.6640625" defaultRowHeight="14.4" x14ac:dyDescent="0.3"/>
  <cols>
    <col min="1" max="1" width="9" customWidth="1"/>
    <col min="2" max="2" width="11" customWidth="1"/>
    <col min="3" max="3" width="13" customWidth="1"/>
    <col min="4" max="4" width="10" customWidth="1"/>
    <col min="5" max="6" width="15" customWidth="1"/>
    <col min="7" max="7" width="16" customWidth="1"/>
    <col min="8" max="8" width="12" customWidth="1"/>
    <col min="9" max="9" width="13" customWidth="1"/>
    <col min="10" max="10" width="15" customWidth="1"/>
  </cols>
  <sheetData>
    <row r="2" spans="1:10" ht="17.399999999999999" x14ac:dyDescent="0.3">
      <c r="A2" s="11" t="s">
        <v>14</v>
      </c>
      <c r="B2" s="11"/>
      <c r="C2" s="11"/>
      <c r="D2" s="11"/>
      <c r="E2" s="11"/>
      <c r="F2" s="11"/>
      <c r="G2" s="11"/>
      <c r="H2" s="11"/>
      <c r="I2" s="11"/>
      <c r="J2" s="11"/>
    </row>
    <row r="4" spans="1:10" ht="41.4" x14ac:dyDescent="0.3">
      <c r="A4" s="1" t="s">
        <v>1</v>
      </c>
      <c r="B4" s="1" t="s">
        <v>2</v>
      </c>
      <c r="C4" s="1" t="s">
        <v>9</v>
      </c>
      <c r="D4" s="1" t="s">
        <v>10</v>
      </c>
      <c r="E4" s="1" t="s">
        <v>5</v>
      </c>
      <c r="F4" s="1" t="s">
        <v>6</v>
      </c>
      <c r="G4" s="1" t="s">
        <v>11</v>
      </c>
      <c r="H4" s="1" t="s">
        <v>12</v>
      </c>
      <c r="I4" s="1" t="s">
        <v>13</v>
      </c>
      <c r="J4" s="1" t="s">
        <v>7</v>
      </c>
    </row>
    <row r="5" spans="1:10" x14ac:dyDescent="0.3">
      <c r="A5" s="2">
        <f>Datos_Escalon!A5</f>
        <v>1</v>
      </c>
      <c r="B5" s="7">
        <f>Datos_Escalon!B5</f>
        <v>1</v>
      </c>
      <c r="C5" s="6">
        <f>Datos_Escalon!C5</f>
        <v>1.7453E-3</v>
      </c>
      <c r="D5" s="5">
        <f>Datos_Escalon!D5</f>
        <v>9.9998323984182583E-2</v>
      </c>
      <c r="E5" s="6">
        <f>Datos_Escalon!E5</f>
        <v>0</v>
      </c>
      <c r="F5" s="6">
        <f>Datos_Escalon!F5</f>
        <v>1.7453E-3</v>
      </c>
      <c r="G5" s="4">
        <v>2.0999999999999999E-3</v>
      </c>
      <c r="H5" s="8">
        <v>1.3994</v>
      </c>
      <c r="I5" s="9">
        <f t="shared" ref="I5:I14" si="0">IFERROR((G5-F5)/C5*100,"")</f>
        <v>20.323153612559437</v>
      </c>
      <c r="J5" s="5">
        <f>Datos_Escalon!G5</f>
        <v>9.9998323984182583E-2</v>
      </c>
    </row>
    <row r="6" spans="1:10" x14ac:dyDescent="0.3">
      <c r="A6" s="2">
        <f>Datos_Escalon!A6</f>
        <v>2</v>
      </c>
      <c r="B6" s="7">
        <f>Datos_Escalon!B6</f>
        <v>4</v>
      </c>
      <c r="C6" s="6">
        <f>Datos_Escalon!C6</f>
        <v>1.7453300000000001E-2</v>
      </c>
      <c r="D6" s="5">
        <f>Datos_Escalon!D6</f>
        <v>1.0000004285756798</v>
      </c>
      <c r="E6" s="6">
        <f>Datos_Escalon!E6</f>
        <v>1.7453E-3</v>
      </c>
      <c r="F6" s="6">
        <f>Datos_Escalon!F6</f>
        <v>1.9198600000000003E-2</v>
      </c>
      <c r="G6" s="4">
        <v>2.2499999999999999E-2</v>
      </c>
      <c r="H6" s="8">
        <v>2.2000000000000002</v>
      </c>
      <c r="I6" s="9">
        <f t="shared" si="0"/>
        <v>18.915620541674045</v>
      </c>
      <c r="J6" s="5">
        <f>Datos_Escalon!G6</f>
        <v>1.0999987525598625</v>
      </c>
    </row>
    <row r="7" spans="1:10" x14ac:dyDescent="0.3">
      <c r="A7" s="2">
        <f>Datos_Escalon!A7</f>
        <v>3</v>
      </c>
      <c r="B7" s="7">
        <f>Datos_Escalon!B7</f>
        <v>15</v>
      </c>
      <c r="C7" s="6">
        <f>Datos_Escalon!C7</f>
        <v>8.7266499999999997E-2</v>
      </c>
      <c r="D7" s="5">
        <f>Datos_Escalon!D7</f>
        <v>5.0000021428783983</v>
      </c>
      <c r="E7" s="6">
        <f>Datos_Escalon!E7</f>
        <v>1.9198600000000003E-2</v>
      </c>
      <c r="F7" s="6">
        <f>Datos_Escalon!F7</f>
        <v>0.10646510000000001</v>
      </c>
      <c r="G7" s="4">
        <v>0.12280000000000001</v>
      </c>
      <c r="H7" s="8">
        <v>2.25</v>
      </c>
      <c r="I7" s="9">
        <f t="shared" si="0"/>
        <v>18.718408553110301</v>
      </c>
      <c r="J7" s="5">
        <f>Datos_Escalon!G7</f>
        <v>6.100000895438261</v>
      </c>
    </row>
    <row r="8" spans="1:10" x14ac:dyDescent="0.3">
      <c r="A8" s="2">
        <f>Datos_Escalon!A8</f>
        <v>4</v>
      </c>
      <c r="B8" s="7">
        <f>Datos_Escalon!B8</f>
        <v>26</v>
      </c>
      <c r="C8" s="6">
        <f>Datos_Escalon!C8</f>
        <v>0.17453289999999999</v>
      </c>
      <c r="D8" s="5">
        <f>Datos_Escalon!D8</f>
        <v>9.9999985561788449</v>
      </c>
      <c r="E8" s="6">
        <f>Datos_Escalon!E8</f>
        <v>0.10646510000000001</v>
      </c>
      <c r="F8" s="6">
        <f>Datos_Escalon!F8</f>
        <v>0.28099799999999997</v>
      </c>
      <c r="G8" s="4">
        <v>0.31359999999999999</v>
      </c>
      <c r="H8" s="8">
        <v>2.5</v>
      </c>
      <c r="I8" s="9">
        <f t="shared" si="0"/>
        <v>18.679572733851337</v>
      </c>
      <c r="J8" s="5">
        <f>Datos_Escalon!G8</f>
        <v>16.099999451617105</v>
      </c>
    </row>
    <row r="9" spans="1:10" x14ac:dyDescent="0.3">
      <c r="A9" s="2">
        <f>Datos_Escalon!A9</f>
        <v>5</v>
      </c>
      <c r="B9" s="7">
        <f>Datos_Escalon!B9</f>
        <v>38</v>
      </c>
      <c r="C9" s="6">
        <f>Datos_Escalon!C9</f>
        <v>0.34906589999999998</v>
      </c>
      <c r="D9" s="5">
        <f>Datos_Escalon!D9</f>
        <v>20.000002841935643</v>
      </c>
      <c r="E9" s="6">
        <f>Datos_Escalon!E9</f>
        <v>0.28099799999999997</v>
      </c>
      <c r="F9" s="6">
        <f>Datos_Escalon!F9</f>
        <v>0.6300638999999999</v>
      </c>
      <c r="G9" s="4">
        <v>0.69530000000000003</v>
      </c>
      <c r="H9" s="8">
        <v>2.7</v>
      </c>
      <c r="I9" s="9">
        <f t="shared" si="0"/>
        <v>18.688763353853851</v>
      </c>
      <c r="J9" s="5">
        <f>Datos_Escalon!G9</f>
        <v>36.100002293552741</v>
      </c>
    </row>
    <row r="10" spans="1:10" x14ac:dyDescent="0.3">
      <c r="A10" s="2">
        <f>Datos_Escalon!A10</f>
        <v>6</v>
      </c>
      <c r="B10" s="7">
        <f>Datos_Escalon!B10</f>
        <v>48</v>
      </c>
      <c r="C10" s="6">
        <f>Datos_Escalon!C10</f>
        <v>0.52359880000000003</v>
      </c>
      <c r="D10" s="5">
        <f>Datos_Escalon!D10</f>
        <v>30.000001398114492</v>
      </c>
      <c r="E10" s="6">
        <f>Datos_Escalon!E10</f>
        <v>0.6300638999999999</v>
      </c>
      <c r="F10" s="6">
        <f>Datos_Escalon!F10</f>
        <v>1.1536626999999999</v>
      </c>
      <c r="G10" s="4">
        <v>1.2515000000000001</v>
      </c>
      <c r="H10" s="8">
        <v>2.7</v>
      </c>
      <c r="I10" s="9">
        <f t="shared" si="0"/>
        <v>18.685547025699854</v>
      </c>
      <c r="J10" s="5">
        <f>Datos_Escalon!G10</f>
        <v>66.10000369166724</v>
      </c>
    </row>
    <row r="11" spans="1:10" x14ac:dyDescent="0.3">
      <c r="A11" s="2">
        <f>Datos_Escalon!A11</f>
        <v>7</v>
      </c>
      <c r="B11" s="7">
        <f>Datos_Escalon!B11</f>
        <v>58</v>
      </c>
      <c r="C11" s="6">
        <f>Datos_Escalon!C11</f>
        <v>0.78539820000000005</v>
      </c>
      <c r="D11" s="5">
        <f>Datos_Escalon!D11</f>
        <v>45.000002097171738</v>
      </c>
      <c r="E11" s="6">
        <f>Datos_Escalon!E11</f>
        <v>1.1536626999999999</v>
      </c>
      <c r="F11" s="6">
        <f>Datos_Escalon!F11</f>
        <v>1.9390608999999999</v>
      </c>
      <c r="G11" s="4">
        <v>2.0857999999999999</v>
      </c>
      <c r="H11" s="8">
        <v>2.7</v>
      </c>
      <c r="I11" s="9">
        <f t="shared" si="0"/>
        <v>18.683401617166936</v>
      </c>
      <c r="J11" s="5">
        <f>Datos_Escalon!G11</f>
        <v>111.10000578883896</v>
      </c>
    </row>
    <row r="12" spans="1:10" x14ac:dyDescent="0.3">
      <c r="A12" s="2">
        <f>Datos_Escalon!A12</f>
        <v>8</v>
      </c>
      <c r="B12" s="7">
        <f>Datos_Escalon!B12</f>
        <v>68</v>
      </c>
      <c r="C12" s="6">
        <f>Datos_Escalon!C12</f>
        <v>1.0471976000000001</v>
      </c>
      <c r="D12" s="5">
        <f>Datos_Escalon!D12</f>
        <v>60.000002796228983</v>
      </c>
      <c r="E12" s="6">
        <f>Datos_Escalon!E12</f>
        <v>1.9390608999999999</v>
      </c>
      <c r="F12" s="6">
        <f>Datos_Escalon!F12</f>
        <v>2.9862584999999999</v>
      </c>
      <c r="G12" s="4">
        <v>3.1819000000000002</v>
      </c>
      <c r="H12" s="8">
        <v>2.8</v>
      </c>
      <c r="I12" s="9">
        <f t="shared" si="0"/>
        <v>18.682386208677354</v>
      </c>
      <c r="J12" s="5">
        <f>Datos_Escalon!G12</f>
        <v>171.10000858506794</v>
      </c>
    </row>
    <row r="13" spans="1:10" x14ac:dyDescent="0.3">
      <c r="A13" s="2">
        <f>Datos_Escalon!A13</f>
        <v>9</v>
      </c>
      <c r="B13" s="7">
        <f>Datos_Escalon!B13</f>
        <v>78</v>
      </c>
      <c r="C13" s="6">
        <f>Datos_Escalon!C13</f>
        <v>1.5707963</v>
      </c>
      <c r="D13" s="5">
        <f>Datos_Escalon!D13</f>
        <v>89.999998464765511</v>
      </c>
      <c r="E13" s="6">
        <f>Datos_Escalon!E13</f>
        <v>2.9862584999999999</v>
      </c>
      <c r="F13" s="6">
        <f>Datos_Escalon!F13</f>
        <v>4.5570547999999995</v>
      </c>
      <c r="G13" s="4">
        <v>4.8505000000000003</v>
      </c>
      <c r="H13" s="8">
        <v>2.8</v>
      </c>
      <c r="I13" s="9">
        <f t="shared" si="0"/>
        <v>18.681301961304641</v>
      </c>
      <c r="J13" s="5">
        <f>Datos_Escalon!G13</f>
        <v>261.10000704983344</v>
      </c>
    </row>
    <row r="14" spans="1:10" x14ac:dyDescent="0.3">
      <c r="A14" s="2">
        <f>Datos_Escalon!A14</f>
        <v>10</v>
      </c>
      <c r="B14" s="7">
        <f>Datos_Escalon!B14</f>
        <v>88</v>
      </c>
      <c r="C14" s="6">
        <f>Datos_Escalon!C14</f>
        <v>2.2689279999999998</v>
      </c>
      <c r="D14" s="5">
        <f>Datos_Escalon!D14</f>
        <v>129.99999841905884</v>
      </c>
      <c r="E14" s="6">
        <f>Datos_Escalon!E14</f>
        <v>4.5570547999999995</v>
      </c>
      <c r="F14" s="6">
        <f>Datos_Escalon!F14</f>
        <v>6.8259827999999994</v>
      </c>
      <c r="G14" s="4">
        <v>7.2497999999999996</v>
      </c>
      <c r="H14" s="8">
        <v>2.8</v>
      </c>
      <c r="I14" s="9">
        <f t="shared" si="0"/>
        <v>18.679182415660623</v>
      </c>
      <c r="J14" s="5">
        <f>Datos_Escalon!G14</f>
        <v>391.10000546889228</v>
      </c>
    </row>
    <row r="16" spans="1:10" ht="27.75" customHeight="1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</row>
  </sheetData>
  <mergeCells count="1"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J16"/>
  <sheetViews>
    <sheetView showGridLines="0" zoomScaleNormal="100" workbookViewId="0">
      <selection activeCell="A16" sqref="A16:J16"/>
    </sheetView>
  </sheetViews>
  <sheetFormatPr baseColWidth="10" defaultColWidth="8.6640625" defaultRowHeight="14.4" x14ac:dyDescent="0.3"/>
  <cols>
    <col min="1" max="1" width="9" customWidth="1"/>
    <col min="2" max="2" width="11" customWidth="1"/>
    <col min="3" max="3" width="13" customWidth="1"/>
    <col min="4" max="4" width="10" customWidth="1"/>
    <col min="5" max="6" width="15" customWidth="1"/>
    <col min="7" max="7" width="16" customWidth="1"/>
    <col min="8" max="8" width="12" customWidth="1"/>
    <col min="9" max="9" width="13" customWidth="1"/>
    <col min="10" max="10" width="15" customWidth="1"/>
  </cols>
  <sheetData>
    <row r="2" spans="1:10" ht="17.399999999999999" x14ac:dyDescent="0.3">
      <c r="A2" s="11" t="s">
        <v>16</v>
      </c>
      <c r="B2" s="11"/>
      <c r="C2" s="11"/>
      <c r="D2" s="11"/>
      <c r="E2" s="11"/>
      <c r="F2" s="11"/>
      <c r="G2" s="11"/>
      <c r="H2" s="11"/>
      <c r="I2" s="11"/>
      <c r="J2" s="11"/>
    </row>
    <row r="4" spans="1:10" ht="41.4" x14ac:dyDescent="0.3">
      <c r="A4" s="1" t="s">
        <v>1</v>
      </c>
      <c r="B4" s="1" t="s">
        <v>2</v>
      </c>
      <c r="C4" s="1" t="s">
        <v>9</v>
      </c>
      <c r="D4" s="1" t="s">
        <v>10</v>
      </c>
      <c r="E4" s="1" t="s">
        <v>5</v>
      </c>
      <c r="F4" s="1" t="s">
        <v>6</v>
      </c>
      <c r="G4" s="1" t="s">
        <v>11</v>
      </c>
      <c r="H4" s="1" t="s">
        <v>12</v>
      </c>
      <c r="I4" s="1" t="s">
        <v>13</v>
      </c>
      <c r="J4" s="1" t="s">
        <v>7</v>
      </c>
    </row>
    <row r="5" spans="1:10" x14ac:dyDescent="0.3">
      <c r="A5" s="2">
        <f>Datos_Escalon!A5</f>
        <v>1</v>
      </c>
      <c r="B5" s="7">
        <f>Datos_Escalon!B5</f>
        <v>1</v>
      </c>
      <c r="C5" s="6">
        <f>Datos_Escalon!C5</f>
        <v>1.7453E-3</v>
      </c>
      <c r="D5" s="5">
        <f>Datos_Escalon!D5</f>
        <v>9.9998323984182583E-2</v>
      </c>
      <c r="E5" s="6">
        <f>Datos_Escalon!E5</f>
        <v>0</v>
      </c>
      <c r="F5" s="6">
        <f>Datos_Escalon!F5</f>
        <v>1.7453E-3</v>
      </c>
      <c r="G5" s="4">
        <v>1.8E-3</v>
      </c>
      <c r="H5" s="8">
        <v>9.1999999999999993</v>
      </c>
      <c r="I5" s="9">
        <f t="shared" ref="I5:I14" si="0">IFERROR((G5-F5)/C5*100,"")</f>
        <v>3.1341316679080946</v>
      </c>
      <c r="J5" s="5">
        <f>Datos_Escalon!G5</f>
        <v>9.9998323984182583E-2</v>
      </c>
    </row>
    <row r="6" spans="1:10" x14ac:dyDescent="0.3">
      <c r="A6" s="2">
        <f>Datos_Escalon!A6</f>
        <v>2</v>
      </c>
      <c r="B6" s="7">
        <f>Datos_Escalon!B6</f>
        <v>4</v>
      </c>
      <c r="C6" s="6">
        <f>Datos_Escalon!C6</f>
        <v>1.7453300000000001E-2</v>
      </c>
      <c r="D6" s="5">
        <f>Datos_Escalon!D6</f>
        <v>1.0000004285756798</v>
      </c>
      <c r="E6" s="6">
        <f>Datos_Escalon!E6</f>
        <v>1.7453E-3</v>
      </c>
      <c r="F6" s="6">
        <f>Datos_Escalon!F6</f>
        <v>1.9198600000000003E-2</v>
      </c>
      <c r="G6" s="4">
        <v>1.9699999999999999E-2</v>
      </c>
      <c r="H6" s="8">
        <v>9.2899999999999991</v>
      </c>
      <c r="I6" s="9">
        <f t="shared" si="0"/>
        <v>2.8728091535697864</v>
      </c>
      <c r="J6" s="5">
        <f>Datos_Escalon!G6</f>
        <v>1.0999987525598625</v>
      </c>
    </row>
    <row r="7" spans="1:10" x14ac:dyDescent="0.3">
      <c r="A7" s="2">
        <f>Datos_Escalon!A7</f>
        <v>3</v>
      </c>
      <c r="B7" s="7">
        <f>Datos_Escalon!B7</f>
        <v>15</v>
      </c>
      <c r="C7" s="6">
        <f>Datos_Escalon!C7</f>
        <v>8.7266499999999997E-2</v>
      </c>
      <c r="D7" s="5">
        <f>Datos_Escalon!D7</f>
        <v>5.0000021428783983</v>
      </c>
      <c r="E7" s="6">
        <f>Datos_Escalon!E7</f>
        <v>1.9198600000000003E-2</v>
      </c>
      <c r="F7" s="6">
        <f>Datos_Escalon!F7</f>
        <v>0.10646510000000001</v>
      </c>
      <c r="G7" s="4">
        <v>0.1086</v>
      </c>
      <c r="H7" s="8">
        <v>12</v>
      </c>
      <c r="I7" s="9">
        <f t="shared" si="0"/>
        <v>2.4464141451759782</v>
      </c>
      <c r="J7" s="5">
        <f>Datos_Escalon!G7</f>
        <v>6.100000895438261</v>
      </c>
    </row>
    <row r="8" spans="1:10" x14ac:dyDescent="0.3">
      <c r="A8" s="2">
        <f>Datos_Escalon!A8</f>
        <v>4</v>
      </c>
      <c r="B8" s="7">
        <f>Datos_Escalon!B8</f>
        <v>26</v>
      </c>
      <c r="C8" s="6">
        <f>Datos_Escalon!C8</f>
        <v>0.17453289999999999</v>
      </c>
      <c r="D8" s="5">
        <f>Datos_Escalon!D8</f>
        <v>9.9999985561788449</v>
      </c>
      <c r="E8" s="6">
        <f>Datos_Escalon!E8</f>
        <v>0.10646510000000001</v>
      </c>
      <c r="F8" s="6">
        <f>Datos_Escalon!F8</f>
        <v>0.28099799999999997</v>
      </c>
      <c r="G8" s="4">
        <v>0.2848</v>
      </c>
      <c r="H8" s="8">
        <v>12</v>
      </c>
      <c r="I8" s="9">
        <f t="shared" si="0"/>
        <v>2.1783858516073633</v>
      </c>
      <c r="J8" s="5">
        <f>Datos_Escalon!G8</f>
        <v>16.099999451617105</v>
      </c>
    </row>
    <row r="9" spans="1:10" x14ac:dyDescent="0.3">
      <c r="A9" s="2">
        <f>Datos_Escalon!A9</f>
        <v>5</v>
      </c>
      <c r="B9" s="7">
        <f>Datos_Escalon!B9</f>
        <v>38</v>
      </c>
      <c r="C9" s="6">
        <f>Datos_Escalon!C9</f>
        <v>0.34906589999999998</v>
      </c>
      <c r="D9" s="5">
        <f>Datos_Escalon!D9</f>
        <v>20.000002841935643</v>
      </c>
      <c r="E9" s="6">
        <f>Datos_Escalon!E9</f>
        <v>0.28099799999999997</v>
      </c>
      <c r="F9" s="6">
        <f>Datos_Escalon!F9</f>
        <v>0.6300638999999999</v>
      </c>
      <c r="G9" s="4">
        <v>0.63919999999999999</v>
      </c>
      <c r="H9" s="8">
        <v>12</v>
      </c>
      <c r="I9" s="9">
        <f t="shared" si="0"/>
        <v>2.6172994841375488</v>
      </c>
      <c r="J9" s="5">
        <f>Datos_Escalon!G9</f>
        <v>36.100002293552741</v>
      </c>
    </row>
    <row r="10" spans="1:10" x14ac:dyDescent="0.3">
      <c r="A10" s="2">
        <f>Datos_Escalon!A10</f>
        <v>6</v>
      </c>
      <c r="B10" s="7">
        <f>Datos_Escalon!B10</f>
        <v>48</v>
      </c>
      <c r="C10" s="6">
        <f>Datos_Escalon!C10</f>
        <v>0.52359880000000003</v>
      </c>
      <c r="D10" s="5">
        <f>Datos_Escalon!D10</f>
        <v>30.000001398114492</v>
      </c>
      <c r="E10" s="6">
        <f>Datos_Escalon!E10</f>
        <v>0.6300638999999999</v>
      </c>
      <c r="F10" s="6">
        <f>Datos_Escalon!F10</f>
        <v>1.1536626999999999</v>
      </c>
      <c r="G10" s="4">
        <v>1.1678999999999999</v>
      </c>
      <c r="H10" s="8">
        <v>13</v>
      </c>
      <c r="I10" s="9">
        <f t="shared" si="0"/>
        <v>2.7191238788171415</v>
      </c>
      <c r="J10" s="5">
        <f>Datos_Escalon!G10</f>
        <v>66.10000369166724</v>
      </c>
    </row>
    <row r="11" spans="1:10" x14ac:dyDescent="0.3">
      <c r="A11" s="2">
        <f>Datos_Escalon!A11</f>
        <v>7</v>
      </c>
      <c r="B11" s="7">
        <f>Datos_Escalon!B11</f>
        <v>58</v>
      </c>
      <c r="C11" s="6">
        <f>Datos_Escalon!C11</f>
        <v>0.78539820000000005</v>
      </c>
      <c r="D11" s="5">
        <f>Datos_Escalon!D11</f>
        <v>45.000002097171738</v>
      </c>
      <c r="E11" s="6">
        <f>Datos_Escalon!E11</f>
        <v>1.1536626999999999</v>
      </c>
      <c r="F11" s="6">
        <f>Datos_Escalon!F11</f>
        <v>1.9390608999999999</v>
      </c>
      <c r="G11" s="4">
        <v>1.9605999999999999</v>
      </c>
      <c r="H11" s="8">
        <v>13</v>
      </c>
      <c r="I11" s="9">
        <f t="shared" si="0"/>
        <v>2.7424432599921964</v>
      </c>
      <c r="J11" s="5">
        <f>Datos_Escalon!G11</f>
        <v>111.10000578883896</v>
      </c>
    </row>
    <row r="12" spans="1:10" x14ac:dyDescent="0.3">
      <c r="A12" s="2">
        <f>Datos_Escalon!A12</f>
        <v>8</v>
      </c>
      <c r="B12" s="7">
        <f>Datos_Escalon!B12</f>
        <v>68</v>
      </c>
      <c r="C12" s="6">
        <f>Datos_Escalon!C12</f>
        <v>1.0471976000000001</v>
      </c>
      <c r="D12" s="5">
        <f>Datos_Escalon!D12</f>
        <v>60.000002796228983</v>
      </c>
      <c r="E12" s="6">
        <f>Datos_Escalon!E12</f>
        <v>1.9390608999999999</v>
      </c>
      <c r="F12" s="6">
        <f>Datos_Escalon!F12</f>
        <v>2.9862584999999999</v>
      </c>
      <c r="G12" s="4">
        <v>3.0152999999999999</v>
      </c>
      <c r="H12" s="8">
        <v>14</v>
      </c>
      <c r="I12" s="9">
        <f t="shared" si="0"/>
        <v>2.7732588386375161</v>
      </c>
      <c r="J12" s="5">
        <f>Datos_Escalon!G12</f>
        <v>171.10000858506794</v>
      </c>
    </row>
    <row r="13" spans="1:10" x14ac:dyDescent="0.3">
      <c r="A13" s="2">
        <f>Datos_Escalon!A13</f>
        <v>9</v>
      </c>
      <c r="B13" s="7">
        <f>Datos_Escalon!B13</f>
        <v>78</v>
      </c>
      <c r="C13" s="6">
        <f>Datos_Escalon!C13</f>
        <v>1.5707963</v>
      </c>
      <c r="D13" s="5">
        <f>Datos_Escalon!D13</f>
        <v>89.999998464765511</v>
      </c>
      <c r="E13" s="6">
        <f>Datos_Escalon!E13</f>
        <v>2.9862584999999999</v>
      </c>
      <c r="F13" s="6">
        <f>Datos_Escalon!F13</f>
        <v>4.5570547999999995</v>
      </c>
      <c r="G13" s="4">
        <v>4.6001000000000003</v>
      </c>
      <c r="H13" s="8">
        <v>14</v>
      </c>
      <c r="I13" s="9">
        <f t="shared" si="0"/>
        <v>2.7403425892969562</v>
      </c>
      <c r="J13" s="5">
        <f>Datos_Escalon!G13</f>
        <v>261.10000704983344</v>
      </c>
    </row>
    <row r="14" spans="1:10" x14ac:dyDescent="0.3">
      <c r="A14" s="2">
        <f>Datos_Escalon!A14</f>
        <v>10</v>
      </c>
      <c r="B14" s="7">
        <f>Datos_Escalon!B14</f>
        <v>88</v>
      </c>
      <c r="C14" s="6">
        <f>Datos_Escalon!C14</f>
        <v>2.2689279999999998</v>
      </c>
      <c r="D14" s="5">
        <f>Datos_Escalon!D14</f>
        <v>129.99999841905884</v>
      </c>
      <c r="E14" s="6">
        <f>Datos_Escalon!E14</f>
        <v>4.5570547999999995</v>
      </c>
      <c r="F14" s="6">
        <f>Datos_Escalon!F14</f>
        <v>6.8259827999999994</v>
      </c>
      <c r="G14" s="4">
        <v>6.8886000000000003</v>
      </c>
      <c r="H14" s="8">
        <v>14</v>
      </c>
      <c r="I14" s="9">
        <f t="shared" si="0"/>
        <v>2.7597702527361352</v>
      </c>
      <c r="J14" s="5">
        <f>Datos_Escalon!G14</f>
        <v>391.10000546889228</v>
      </c>
    </row>
    <row r="16" spans="1:10" ht="27.75" customHeight="1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</row>
  </sheetData>
  <mergeCells count="1"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J16"/>
  <sheetViews>
    <sheetView showGridLines="0" zoomScaleNormal="100" workbookViewId="0">
      <selection activeCell="L13" sqref="L13"/>
    </sheetView>
  </sheetViews>
  <sheetFormatPr baseColWidth="10" defaultColWidth="8.6640625" defaultRowHeight="14.4" x14ac:dyDescent="0.3"/>
  <cols>
    <col min="1" max="1" width="9" customWidth="1"/>
    <col min="2" max="2" width="11" customWidth="1"/>
    <col min="3" max="3" width="13" customWidth="1"/>
    <col min="4" max="4" width="10" customWidth="1"/>
    <col min="5" max="6" width="15" customWidth="1"/>
    <col min="7" max="7" width="16" customWidth="1"/>
    <col min="8" max="8" width="12" customWidth="1"/>
    <col min="9" max="9" width="13" customWidth="1"/>
    <col min="10" max="10" width="15" customWidth="1"/>
  </cols>
  <sheetData>
    <row r="2" spans="1:10" ht="17.399999999999999" x14ac:dyDescent="0.3">
      <c r="A2" s="11" t="s">
        <v>17</v>
      </c>
      <c r="B2" s="11"/>
      <c r="C2" s="11"/>
      <c r="D2" s="11"/>
      <c r="E2" s="11"/>
      <c r="F2" s="11"/>
      <c r="G2" s="11"/>
      <c r="H2" s="11"/>
      <c r="I2" s="11"/>
      <c r="J2" s="11"/>
    </row>
    <row r="4" spans="1:10" ht="41.4" x14ac:dyDescent="0.3">
      <c r="A4" s="1" t="s">
        <v>1</v>
      </c>
      <c r="B4" s="1" t="s">
        <v>2</v>
      </c>
      <c r="C4" s="1" t="s">
        <v>9</v>
      </c>
      <c r="D4" s="1" t="s">
        <v>10</v>
      </c>
      <c r="E4" s="1" t="s">
        <v>5</v>
      </c>
      <c r="F4" s="1" t="s">
        <v>6</v>
      </c>
      <c r="G4" s="1" t="s">
        <v>11</v>
      </c>
      <c r="H4" s="1" t="s">
        <v>12</v>
      </c>
      <c r="I4" s="1" t="s">
        <v>13</v>
      </c>
      <c r="J4" s="1" t="s">
        <v>7</v>
      </c>
    </row>
    <row r="5" spans="1:10" x14ac:dyDescent="0.3">
      <c r="A5" s="2">
        <f>Datos_Escalon!A5</f>
        <v>1</v>
      </c>
      <c r="B5" s="7">
        <f>Datos_Escalon!B5</f>
        <v>1</v>
      </c>
      <c r="C5" s="6">
        <f>Datos_Escalon!C5</f>
        <v>1.7453E-3</v>
      </c>
      <c r="D5" s="5">
        <f>Datos_Escalon!D5</f>
        <v>9.9998323984182583E-2</v>
      </c>
      <c r="E5" s="6">
        <f>Datos_Escalon!E5</f>
        <v>0</v>
      </c>
      <c r="F5" s="6">
        <f>Datos_Escalon!F5</f>
        <v>1.7453E-3</v>
      </c>
      <c r="G5" s="4">
        <v>1.7459000000000001E-3</v>
      </c>
      <c r="H5" s="8">
        <v>0.5</v>
      </c>
      <c r="I5" s="9">
        <f t="shared" ref="I5:I14" si="0">IFERROR((G5-F5)/C5*100,"")</f>
        <v>3.4378043889309748E-2</v>
      </c>
      <c r="J5" s="5">
        <f>Datos_Escalon!G5</f>
        <v>9.9998323984182583E-2</v>
      </c>
    </row>
    <row r="6" spans="1:10" x14ac:dyDescent="0.3">
      <c r="A6" s="2">
        <f>Datos_Escalon!A6</f>
        <v>2</v>
      </c>
      <c r="B6" s="7">
        <f>Datos_Escalon!B6</f>
        <v>4</v>
      </c>
      <c r="C6" s="6">
        <f>Datos_Escalon!C6</f>
        <v>1.7453300000000001E-2</v>
      </c>
      <c r="D6" s="5">
        <f>Datos_Escalon!D6</f>
        <v>1.0000004285756798</v>
      </c>
      <c r="E6" s="6">
        <f>Datos_Escalon!E6</f>
        <v>1.7453E-3</v>
      </c>
      <c r="F6" s="6">
        <f>Datos_Escalon!F6</f>
        <v>1.9198600000000003E-2</v>
      </c>
      <c r="G6" s="4">
        <v>1.9205E-2</v>
      </c>
      <c r="H6" s="8">
        <v>0.5</v>
      </c>
      <c r="I6" s="9">
        <f t="shared" si="0"/>
        <v>3.6669283172790737E-2</v>
      </c>
      <c r="J6" s="5">
        <f>Datos_Escalon!G6</f>
        <v>1.0999987525598625</v>
      </c>
    </row>
    <row r="7" spans="1:10" x14ac:dyDescent="0.3">
      <c r="A7" s="2">
        <f>Datos_Escalon!A7</f>
        <v>3</v>
      </c>
      <c r="B7" s="7">
        <f>Datos_Escalon!B7</f>
        <v>15</v>
      </c>
      <c r="C7" s="6">
        <f>Datos_Escalon!C7</f>
        <v>8.7266499999999997E-2</v>
      </c>
      <c r="D7" s="5">
        <f>Datos_Escalon!D7</f>
        <v>5.0000021428783983</v>
      </c>
      <c r="E7" s="6">
        <f>Datos_Escalon!E7</f>
        <v>1.9198600000000003E-2</v>
      </c>
      <c r="F7" s="6">
        <f>Datos_Escalon!F7</f>
        <v>0.10646510000000001</v>
      </c>
      <c r="G7" s="4">
        <v>0.1065</v>
      </c>
      <c r="H7" s="8">
        <v>0.6</v>
      </c>
      <c r="I7" s="9">
        <f t="shared" si="0"/>
        <v>3.9992436960334721E-2</v>
      </c>
      <c r="J7" s="5">
        <f>Datos_Escalon!G7</f>
        <v>6.100000895438261</v>
      </c>
    </row>
    <row r="8" spans="1:10" x14ac:dyDescent="0.3">
      <c r="A8" s="2">
        <f>Datos_Escalon!A8</f>
        <v>4</v>
      </c>
      <c r="B8" s="7">
        <f>Datos_Escalon!B8</f>
        <v>26</v>
      </c>
      <c r="C8" s="6">
        <f>Datos_Escalon!C8</f>
        <v>0.17453289999999999</v>
      </c>
      <c r="D8" s="5">
        <f>Datos_Escalon!D8</f>
        <v>9.9999985561788449</v>
      </c>
      <c r="E8" s="6">
        <f>Datos_Escalon!E8</f>
        <v>0.10646510000000001</v>
      </c>
      <c r="F8" s="6">
        <f>Datos_Escalon!F8</f>
        <v>0.28099799999999997</v>
      </c>
      <c r="G8" s="4">
        <v>0.28110000000000002</v>
      </c>
      <c r="H8" s="8">
        <v>0.6</v>
      </c>
      <c r="I8" s="9">
        <f t="shared" si="0"/>
        <v>5.8441703541307399E-2</v>
      </c>
      <c r="J8" s="5">
        <f>Datos_Escalon!G8</f>
        <v>16.099999451617105</v>
      </c>
    </row>
    <row r="9" spans="1:10" x14ac:dyDescent="0.3">
      <c r="A9" s="2">
        <f>Datos_Escalon!A9</f>
        <v>5</v>
      </c>
      <c r="B9" s="7">
        <f>Datos_Escalon!B9</f>
        <v>38</v>
      </c>
      <c r="C9" s="6">
        <f>Datos_Escalon!C9</f>
        <v>0.34906589999999998</v>
      </c>
      <c r="D9" s="5">
        <f>Datos_Escalon!D9</f>
        <v>20.000002841935643</v>
      </c>
      <c r="E9" s="6">
        <f>Datos_Escalon!E9</f>
        <v>0.28099799999999997</v>
      </c>
      <c r="F9" s="6">
        <f>Datos_Escalon!F9</f>
        <v>0.6300638999999999</v>
      </c>
      <c r="G9" s="4">
        <v>0.63019999999999998</v>
      </c>
      <c r="H9" s="8">
        <v>0.6</v>
      </c>
      <c r="I9" s="9">
        <f t="shared" si="0"/>
        <v>3.8989772418355211E-2</v>
      </c>
      <c r="J9" s="5">
        <f>Datos_Escalon!G9</f>
        <v>36.100002293552741</v>
      </c>
    </row>
    <row r="10" spans="1:10" x14ac:dyDescent="0.3">
      <c r="A10" s="2">
        <f>Datos_Escalon!A10</f>
        <v>6</v>
      </c>
      <c r="B10" s="7">
        <f>Datos_Escalon!B10</f>
        <v>48</v>
      </c>
      <c r="C10" s="6">
        <f>Datos_Escalon!C10</f>
        <v>0.52359880000000003</v>
      </c>
      <c r="D10" s="5">
        <f>Datos_Escalon!D10</f>
        <v>30.000001398114492</v>
      </c>
      <c r="E10" s="6">
        <f>Datos_Escalon!E10</f>
        <v>0.6300638999999999</v>
      </c>
      <c r="F10" s="6">
        <f>Datos_Escalon!F10</f>
        <v>1.1536626999999999</v>
      </c>
      <c r="G10" s="4">
        <v>1.1538999999999999</v>
      </c>
      <c r="H10" s="8">
        <v>0.65</v>
      </c>
      <c r="I10" s="9">
        <f t="shared" si="0"/>
        <v>4.5320959482717652E-2</v>
      </c>
      <c r="J10" s="5">
        <f>Datos_Escalon!G10</f>
        <v>66.10000369166724</v>
      </c>
    </row>
    <row r="11" spans="1:10" x14ac:dyDescent="0.3">
      <c r="A11" s="2">
        <f>Datos_Escalon!A11</f>
        <v>7</v>
      </c>
      <c r="B11" s="7">
        <f>Datos_Escalon!B11</f>
        <v>58</v>
      </c>
      <c r="C11" s="6">
        <f>Datos_Escalon!C11</f>
        <v>0.78539820000000005</v>
      </c>
      <c r="D11" s="5">
        <f>Datos_Escalon!D11</f>
        <v>45.000002097171738</v>
      </c>
      <c r="E11" s="6">
        <f>Datos_Escalon!E11</f>
        <v>1.1536626999999999</v>
      </c>
      <c r="F11" s="6">
        <f>Datos_Escalon!F11</f>
        <v>1.9390608999999999</v>
      </c>
      <c r="G11" s="4">
        <v>1.9394</v>
      </c>
      <c r="H11" s="8">
        <v>0.65</v>
      </c>
      <c r="I11" s="9">
        <f t="shared" si="0"/>
        <v>4.3175550949842711E-2</v>
      </c>
      <c r="J11" s="5">
        <f>Datos_Escalon!G11</f>
        <v>111.10000578883896</v>
      </c>
    </row>
    <row r="12" spans="1:10" x14ac:dyDescent="0.3">
      <c r="A12" s="2">
        <f>Datos_Escalon!A12</f>
        <v>8</v>
      </c>
      <c r="B12" s="7">
        <f>Datos_Escalon!B12</f>
        <v>68</v>
      </c>
      <c r="C12" s="6">
        <f>Datos_Escalon!C12</f>
        <v>1.0471976000000001</v>
      </c>
      <c r="D12" s="5">
        <f>Datos_Escalon!D12</f>
        <v>60.000002796228983</v>
      </c>
      <c r="E12" s="6">
        <f>Datos_Escalon!E12</f>
        <v>1.9390608999999999</v>
      </c>
      <c r="F12" s="6">
        <f>Datos_Escalon!F12</f>
        <v>2.9862584999999999</v>
      </c>
      <c r="G12" s="4">
        <v>2.9866999999999999</v>
      </c>
      <c r="H12" s="8">
        <v>0.7</v>
      </c>
      <c r="I12" s="9">
        <f t="shared" si="0"/>
        <v>4.2160142460217973E-2</v>
      </c>
      <c r="J12" s="5">
        <f>Datos_Escalon!G12</f>
        <v>171.10000858506794</v>
      </c>
    </row>
    <row r="13" spans="1:10" x14ac:dyDescent="0.3">
      <c r="A13" s="2">
        <f>Datos_Escalon!A13</f>
        <v>9</v>
      </c>
      <c r="B13" s="7">
        <f>Datos_Escalon!B13</f>
        <v>78</v>
      </c>
      <c r="C13" s="6">
        <f>Datos_Escalon!C13</f>
        <v>1.5707963</v>
      </c>
      <c r="D13" s="5">
        <f>Datos_Escalon!D13</f>
        <v>89.999998464765511</v>
      </c>
      <c r="E13" s="6">
        <f>Datos_Escalon!E13</f>
        <v>2.9862584999999999</v>
      </c>
      <c r="F13" s="6">
        <f>Datos_Escalon!F13</f>
        <v>4.5570547999999995</v>
      </c>
      <c r="G13" s="4">
        <v>4.5578000000000003</v>
      </c>
      <c r="H13" s="8">
        <v>0.7</v>
      </c>
      <c r="I13" s="9">
        <f t="shared" si="0"/>
        <v>4.7440906246136338E-2</v>
      </c>
      <c r="J13" s="5">
        <f>Datos_Escalon!G13</f>
        <v>261.10000704983344</v>
      </c>
    </row>
    <row r="14" spans="1:10" x14ac:dyDescent="0.3">
      <c r="A14" s="2">
        <f>Datos_Escalon!A14</f>
        <v>10</v>
      </c>
      <c r="B14" s="7">
        <f>Datos_Escalon!B14</f>
        <v>88</v>
      </c>
      <c r="C14" s="6">
        <f>Datos_Escalon!C14</f>
        <v>2.2689279999999998</v>
      </c>
      <c r="D14" s="5">
        <f>Datos_Escalon!D14</f>
        <v>129.99999841905884</v>
      </c>
      <c r="E14" s="6">
        <f>Datos_Escalon!E14</f>
        <v>4.5570547999999995</v>
      </c>
      <c r="F14" s="6">
        <f>Datos_Escalon!F14</f>
        <v>6.8259827999999994</v>
      </c>
      <c r="G14" s="4">
        <v>6.8270999999999997</v>
      </c>
      <c r="H14" s="8">
        <v>0.7</v>
      </c>
      <c r="I14" s="9">
        <f t="shared" si="0"/>
        <v>4.9239112038829504E-2</v>
      </c>
      <c r="J14" s="5">
        <f>Datos_Escalon!G14</f>
        <v>391.10000546889228</v>
      </c>
    </row>
    <row r="16" spans="1:10" ht="27.75" customHeight="1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</row>
  </sheetData>
  <mergeCells count="1"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4"/>
  <sheetViews>
    <sheetView showGridLines="0" zoomScaleNormal="100" workbookViewId="0">
      <selection sqref="A1:M1"/>
    </sheetView>
  </sheetViews>
  <sheetFormatPr baseColWidth="10" defaultColWidth="8.6640625" defaultRowHeight="14.4" x14ac:dyDescent="0.3"/>
  <cols>
    <col min="1" max="1" width="9" customWidth="1"/>
    <col min="2" max="2" width="11" customWidth="1"/>
    <col min="3" max="3" width="9" customWidth="1"/>
    <col min="4" max="13" width="11" customWidth="1"/>
  </cols>
  <sheetData>
    <row r="1" spans="1:13" ht="17.399999999999999" x14ac:dyDescent="0.3">
      <c r="A1" s="11" t="s">
        <v>18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3" spans="1:13" ht="26.85" customHeight="1" x14ac:dyDescent="0.3">
      <c r="A3" s="12"/>
      <c r="B3" s="12"/>
      <c r="C3" s="12"/>
      <c r="D3" s="13" t="s">
        <v>19</v>
      </c>
      <c r="E3" s="13"/>
      <c r="F3" s="13" t="s">
        <v>20</v>
      </c>
      <c r="G3" s="13"/>
      <c r="H3" s="13" t="s">
        <v>21</v>
      </c>
      <c r="I3" s="13"/>
      <c r="J3" s="13" t="s">
        <v>22</v>
      </c>
      <c r="K3" s="13"/>
      <c r="L3" s="13" t="s">
        <v>23</v>
      </c>
      <c r="M3" s="13"/>
    </row>
    <row r="4" spans="1:13" ht="27.6" x14ac:dyDescent="0.3">
      <c r="A4" s="12"/>
      <c r="B4" s="12"/>
      <c r="C4" s="12"/>
      <c r="D4" s="1" t="s">
        <v>13</v>
      </c>
      <c r="E4" s="1" t="s">
        <v>24</v>
      </c>
      <c r="F4" s="1" t="s">
        <v>13</v>
      </c>
      <c r="G4" s="1" t="s">
        <v>24</v>
      </c>
      <c r="H4" s="1" t="s">
        <v>13</v>
      </c>
      <c r="I4" s="1" t="s">
        <v>24</v>
      </c>
      <c r="J4" s="1" t="s">
        <v>13</v>
      </c>
      <c r="K4" s="1" t="s">
        <v>24</v>
      </c>
      <c r="L4" s="1" t="s">
        <v>13</v>
      </c>
      <c r="M4" s="1" t="s">
        <v>24</v>
      </c>
    </row>
    <row r="5" spans="1:13" x14ac:dyDescent="0.3">
      <c r="A5" s="2">
        <f>Datos_Escalon!A5</f>
        <v>1</v>
      </c>
      <c r="B5" s="7">
        <f>Datos_Escalon!B5</f>
        <v>1</v>
      </c>
      <c r="C5" s="5">
        <f>Datos_Escalon!D5</f>
        <v>9.9998323984182583E-2</v>
      </c>
      <c r="D5" s="5">
        <f>IFERROR('PID Leonard (1994)'!I5,"")</f>
        <v>8.2908382513035015</v>
      </c>
      <c r="E5" s="5">
        <f>IFERROR('PID Leonard (1994)'!H5,"")</f>
        <v>0.89880000000000004</v>
      </c>
      <c r="F5" s="5">
        <f>IFERROR('PID Cluett y Wang (TCL)'!I5,"")</f>
        <v>20.323153612559437</v>
      </c>
      <c r="G5" s="5">
        <f>IFERROR('PID Cluett y Wang (TCL)'!H5,"")</f>
        <v>1.3994</v>
      </c>
      <c r="H5" s="5">
        <f>IFERROR('PID Astrom y Hagglund'!I5,"")</f>
        <v>20.323153612559437</v>
      </c>
      <c r="I5" s="5">
        <f>IFERROR('PID Astrom y Hagglund'!H5,"")</f>
        <v>0.89880000000000004</v>
      </c>
      <c r="J5" s="5">
        <f>IFERROR('Asignacion de Polos'!I5,"")</f>
        <v>3.1341316679080946</v>
      </c>
      <c r="K5" s="5">
        <f>IFERROR('Asignacion de Polos'!H5,"")</f>
        <v>9.1999999999999993</v>
      </c>
      <c r="L5" s="5">
        <f>IFERROR('Metodo Rele e=1'!I5,"")</f>
        <v>3.4378043889309748E-2</v>
      </c>
      <c r="M5" s="5">
        <f>IFERROR('Metodo Rele e=1'!H5,"")</f>
        <v>0.5</v>
      </c>
    </row>
    <row r="6" spans="1:13" x14ac:dyDescent="0.3">
      <c r="A6" s="2">
        <f>Datos_Escalon!A6</f>
        <v>2</v>
      </c>
      <c r="B6" s="7">
        <f>Datos_Escalon!B6</f>
        <v>4</v>
      </c>
      <c r="C6" s="5">
        <f>Datos_Escalon!D6</f>
        <v>1.0000004285756798</v>
      </c>
      <c r="D6" s="5">
        <f>IFERROR('PID Leonard (1994)'!I6,"")</f>
        <v>12.040129946772222</v>
      </c>
      <c r="E6" s="5">
        <f>IFERROR('PID Leonard (1994)'!H6,"")</f>
        <v>1.7</v>
      </c>
      <c r="F6" s="5">
        <f>IFERROR('PID Cluett y Wang (TCL)'!I6,"")</f>
        <v>18.915620541674045</v>
      </c>
      <c r="G6" s="5">
        <f>IFERROR('PID Cluett y Wang (TCL)'!H6,"")</f>
        <v>2.2000000000000002</v>
      </c>
      <c r="H6" s="5">
        <f>IFERROR('PID Astrom y Hagglund'!I6,"")</f>
        <v>19.488578091249192</v>
      </c>
      <c r="I6" s="5">
        <f>IFERROR('PID Astrom y Hagglund'!H6,"")</f>
        <v>1.4</v>
      </c>
      <c r="J6" s="5">
        <f>IFERROR('Asignacion de Polos'!I6,"")</f>
        <v>2.8728091535697864</v>
      </c>
      <c r="K6" s="5">
        <f>IFERROR('Asignacion de Polos'!H6,"")</f>
        <v>9.2899999999999991</v>
      </c>
      <c r="L6" s="5">
        <f>IFERROR('Metodo Rele e=1'!I6,"")</f>
        <v>3.6669283172790737E-2</v>
      </c>
      <c r="M6" s="5">
        <f>IFERROR('Metodo Rele e=1'!H6,"")</f>
        <v>0.5</v>
      </c>
    </row>
    <row r="7" spans="1:13" x14ac:dyDescent="0.3">
      <c r="A7" s="2">
        <f>Datos_Escalon!A7</f>
        <v>3</v>
      </c>
      <c r="B7" s="7">
        <f>Datos_Escalon!B7</f>
        <v>15</v>
      </c>
      <c r="C7" s="5">
        <f>Datos_Escalon!D7</f>
        <v>5.0000021428783983</v>
      </c>
      <c r="D7" s="5">
        <f>IFERROR('PID Leonard (1994)'!I7,"")</f>
        <v>12.072100978038538</v>
      </c>
      <c r="E7" s="5">
        <f>IFERROR('PID Leonard (1994)'!H7,"")</f>
        <v>2.1</v>
      </c>
      <c r="F7" s="5">
        <f>IFERROR('PID Cluett y Wang (TCL)'!I7,"")</f>
        <v>18.718408553110301</v>
      </c>
      <c r="G7" s="5">
        <f>IFERROR('PID Cluett y Wang (TCL)'!H7,"")</f>
        <v>2.25</v>
      </c>
      <c r="H7" s="5">
        <f>IFERROR('PID Astrom y Hagglund'!I7,"")</f>
        <v>19.291366102685455</v>
      </c>
      <c r="I7" s="5">
        <f>IFERROR('PID Astrom y Hagglund'!H7,"")</f>
        <v>1.5</v>
      </c>
      <c r="J7" s="5">
        <f>IFERROR('Asignacion de Polos'!I7,"")</f>
        <v>2.4464141451759782</v>
      </c>
      <c r="K7" s="5">
        <f>IFERROR('Asignacion de Polos'!H7,"")</f>
        <v>12</v>
      </c>
      <c r="L7" s="5">
        <f>IFERROR('Metodo Rele e=1'!I7,"")</f>
        <v>3.9992436960334721E-2</v>
      </c>
      <c r="M7" s="5">
        <f>IFERROR('Metodo Rele e=1'!H7,"")</f>
        <v>0.6</v>
      </c>
    </row>
    <row r="8" spans="1:13" x14ac:dyDescent="0.3">
      <c r="A8" s="2">
        <f>Datos_Escalon!A8</f>
        <v>4</v>
      </c>
      <c r="B8" s="7">
        <f>Datos_Escalon!B8</f>
        <v>26</v>
      </c>
      <c r="C8" s="5">
        <f>Datos_Escalon!D8</f>
        <v>9.9999985561788449</v>
      </c>
      <c r="D8" s="5">
        <f>IFERROR('PID Leonard (1994)'!I8,"")</f>
        <v>12.090557138510855</v>
      </c>
      <c r="E8" s="5">
        <f>IFERROR('PID Leonard (1994)'!H8,"")</f>
        <v>2.5</v>
      </c>
      <c r="F8" s="5">
        <f>IFERROR('PID Cluett y Wang (TCL)'!I8,"")</f>
        <v>18.679572733851337</v>
      </c>
      <c r="G8" s="5">
        <f>IFERROR('PID Cluett y Wang (TCL)'!H8,"")</f>
        <v>2.5</v>
      </c>
      <c r="H8" s="5">
        <f>IFERROR('PID Astrom y Hagglund'!I8,"")</f>
        <v>19.080643248350341</v>
      </c>
      <c r="I8" s="5">
        <f>IFERROR('PID Astrom y Hagglund'!H8,"")</f>
        <v>1.6</v>
      </c>
      <c r="J8" s="5">
        <f>IFERROR('Asignacion de Polos'!I8,"")</f>
        <v>2.1783858516073633</v>
      </c>
      <c r="K8" s="5">
        <f>IFERROR('Asignacion de Polos'!H8,"")</f>
        <v>12</v>
      </c>
      <c r="L8" s="5">
        <f>IFERROR('Metodo Rele e=1'!I8,"")</f>
        <v>5.8441703541307399E-2</v>
      </c>
      <c r="M8" s="5">
        <f>IFERROR('Metodo Rele e=1'!H8,"")</f>
        <v>0.6</v>
      </c>
    </row>
    <row r="9" spans="1:13" x14ac:dyDescent="0.3">
      <c r="A9" s="2">
        <f>Datos_Escalon!A9</f>
        <v>5</v>
      </c>
      <c r="B9" s="7">
        <f>Datos_Escalon!B9</f>
        <v>38</v>
      </c>
      <c r="C9" s="5">
        <f>Datos_Escalon!D9</f>
        <v>20.000002841935643</v>
      </c>
      <c r="D9" s="5">
        <f>IFERROR('PID Leonard (1994)'!I9,"")</f>
        <v>12.099749646127025</v>
      </c>
      <c r="E9" s="5">
        <f>IFERROR('PID Leonard (1994)'!H9,"")</f>
        <v>2.7</v>
      </c>
      <c r="F9" s="5">
        <f>IFERROR('PID Cluett y Wang (TCL)'!I9,"")</f>
        <v>18.688763353853851</v>
      </c>
      <c r="G9" s="5">
        <f>IFERROR('PID Cluett y Wang (TCL)'!H9,"")</f>
        <v>2.7</v>
      </c>
      <c r="H9" s="5">
        <f>IFERROR('PID Astrom y Hagglund'!I9,"")</f>
        <v>19.089833753454602</v>
      </c>
      <c r="I9" s="5">
        <f>IFERROR('PID Astrom y Hagglund'!H9,"")</f>
        <v>1.6</v>
      </c>
      <c r="J9" s="5">
        <f>IFERROR('Asignacion de Polos'!I9,"")</f>
        <v>2.6172994841375488</v>
      </c>
      <c r="K9" s="5">
        <f>IFERROR('Asignacion de Polos'!H9,"")</f>
        <v>12</v>
      </c>
      <c r="L9" s="5">
        <f>IFERROR('Metodo Rele e=1'!I9,"")</f>
        <v>3.8989772418355211E-2</v>
      </c>
      <c r="M9" s="5">
        <f>IFERROR('Metodo Rele e=1'!H9,"")</f>
        <v>0.6</v>
      </c>
    </row>
    <row r="10" spans="1:13" x14ac:dyDescent="0.3">
      <c r="A10" s="2">
        <f>Datos_Escalon!A10</f>
        <v>6</v>
      </c>
      <c r="B10" s="7">
        <f>Datos_Escalon!B10</f>
        <v>48</v>
      </c>
      <c r="C10" s="5">
        <f>Datos_Escalon!D10</f>
        <v>30.000001398114492</v>
      </c>
      <c r="D10" s="5">
        <f>IFERROR('PID Leonard (1994)'!I10,"")</f>
        <v>12.096532688768605</v>
      </c>
      <c r="E10" s="5">
        <f>IFERROR('PID Leonard (1994)'!H10,"")</f>
        <v>2.7</v>
      </c>
      <c r="F10" s="5">
        <f>IFERROR('PID Cluett y Wang (TCL)'!I10,"")</f>
        <v>18.685547025699854</v>
      </c>
      <c r="G10" s="5">
        <f>IFERROR('PID Cluett y Wang (TCL)'!H10,"")</f>
        <v>2.7</v>
      </c>
      <c r="H10" s="5">
        <f>IFERROR('PID Astrom y Hagglund'!I10,"")</f>
        <v>19.105716055880972</v>
      </c>
      <c r="I10" s="5">
        <f>IFERROR('PID Astrom y Hagglund'!H10,"")</f>
        <v>1.6</v>
      </c>
      <c r="J10" s="5">
        <f>IFERROR('Asignacion de Polos'!I10,"")</f>
        <v>2.7191238788171415</v>
      </c>
      <c r="K10" s="5">
        <f>IFERROR('Asignacion de Polos'!H10,"")</f>
        <v>13</v>
      </c>
      <c r="L10" s="5">
        <f>IFERROR('Metodo Rele e=1'!I10,"")</f>
        <v>4.5320959482717652E-2</v>
      </c>
      <c r="M10" s="5">
        <f>IFERROR('Metodo Rele e=1'!H10,"")</f>
        <v>0.65</v>
      </c>
    </row>
    <row r="11" spans="1:13" x14ac:dyDescent="0.3">
      <c r="A11" s="2">
        <f>Datos_Escalon!A11</f>
        <v>7</v>
      </c>
      <c r="B11" s="7">
        <f>Datos_Escalon!B11</f>
        <v>58</v>
      </c>
      <c r="C11" s="5">
        <f>Datos_Escalon!D11</f>
        <v>45.000002097171738</v>
      </c>
      <c r="D11" s="5">
        <f>IFERROR('PID Leonard (1994)'!I11,"")</f>
        <v>12.088021082808687</v>
      </c>
      <c r="E11" s="5">
        <f>IFERROR('PID Leonard (1994)'!H11,"")</f>
        <v>2.7</v>
      </c>
      <c r="F11" s="5">
        <f>IFERROR('PID Cluett y Wang (TCL)'!I11,"")</f>
        <v>18.683401617166936</v>
      </c>
      <c r="G11" s="5">
        <f>IFERROR('PID Cluett y Wang (TCL)'!H11,"")</f>
        <v>2.7</v>
      </c>
      <c r="H11" s="5">
        <f>IFERROR('PID Astrom y Hagglund'!I11,"")</f>
        <v>19.090838252494098</v>
      </c>
      <c r="I11" s="5">
        <f>IFERROR('PID Astrom y Hagglund'!H11,"")</f>
        <v>1.6</v>
      </c>
      <c r="J11" s="5">
        <f>IFERROR('Asignacion de Polos'!I11,"")</f>
        <v>2.7424432599921964</v>
      </c>
      <c r="K11" s="5">
        <f>IFERROR('Asignacion de Polos'!H11,"")</f>
        <v>13</v>
      </c>
      <c r="L11" s="5">
        <f>IFERROR('Metodo Rele e=1'!I11,"")</f>
        <v>4.3175550949842711E-2</v>
      </c>
      <c r="M11" s="5">
        <f>IFERROR('Metodo Rele e=1'!H11,"")</f>
        <v>0.65</v>
      </c>
    </row>
    <row r="12" spans="1:13" x14ac:dyDescent="0.3">
      <c r="A12" s="2">
        <f>Datos_Escalon!A12</f>
        <v>8</v>
      </c>
      <c r="B12" s="7">
        <f>Datos_Escalon!B12</f>
        <v>68</v>
      </c>
      <c r="C12" s="5">
        <f>Datos_Escalon!D12</f>
        <v>60.000002796228983</v>
      </c>
      <c r="D12" s="5">
        <f>IFERROR('PID Leonard (1994)'!I12,"")</f>
        <v>12.102921167886564</v>
      </c>
      <c r="E12" s="5">
        <f>IFERROR('PID Leonard (1994)'!H12,"")</f>
        <v>2.8</v>
      </c>
      <c r="F12" s="5">
        <f>IFERROR('PID Cluett y Wang (TCL)'!I12,"")</f>
        <v>18.682386208677354</v>
      </c>
      <c r="G12" s="5">
        <f>IFERROR('PID Cluett y Wang (TCL)'!H12,"")</f>
        <v>2.8</v>
      </c>
      <c r="H12" s="5">
        <f>IFERROR('PID Astrom y Hagglund'!I12,"")</f>
        <v>19.01661157359414</v>
      </c>
      <c r="I12" s="5">
        <f>IFERROR('PID Astrom y Hagglund'!H12,"")</f>
        <v>1.7</v>
      </c>
      <c r="J12" s="5">
        <f>IFERROR('Asignacion de Polos'!I12,"")</f>
        <v>2.7732588386375161</v>
      </c>
      <c r="K12" s="5">
        <f>IFERROR('Asignacion de Polos'!H12,"")</f>
        <v>14</v>
      </c>
      <c r="L12" s="5">
        <f>IFERROR('Metodo Rele e=1'!I12,"")</f>
        <v>4.2160142460217973E-2</v>
      </c>
      <c r="M12" s="5">
        <f>IFERROR('Metodo Rele e=1'!H12,"")</f>
        <v>0.7</v>
      </c>
    </row>
    <row r="13" spans="1:13" x14ac:dyDescent="0.3">
      <c r="A13" s="2">
        <f>Datos_Escalon!A13</f>
        <v>9</v>
      </c>
      <c r="B13" s="7">
        <f>Datos_Escalon!B13</f>
        <v>78</v>
      </c>
      <c r="C13" s="5">
        <f>Datos_Escalon!D13</f>
        <v>89.999998464765511</v>
      </c>
      <c r="D13" s="5">
        <f>IFERROR('PID Leonard (1994)'!I13,"")</f>
        <v>12.098653402735932</v>
      </c>
      <c r="E13" s="5">
        <f>IFERROR('PID Leonard (1994)'!H13,"")</f>
        <v>2.8</v>
      </c>
      <c r="F13" s="5">
        <f>IFERROR('PID Cluett y Wang (TCL)'!I13,"")</f>
        <v>18.681301961304641</v>
      </c>
      <c r="G13" s="5">
        <f>IFERROR('PID Cluett y Wang (TCL)'!H13,"")</f>
        <v>2.8</v>
      </c>
      <c r="H13" s="5">
        <f>IFERROR('PID Astrom y Hagglund'!I13,"")</f>
        <v>19.09510482040228</v>
      </c>
      <c r="I13" s="5">
        <f>IFERROR('PID Astrom y Hagglund'!H13,"")</f>
        <v>1.7</v>
      </c>
      <c r="J13" s="5">
        <f>IFERROR('Asignacion de Polos'!I13,"")</f>
        <v>2.7403425892969562</v>
      </c>
      <c r="K13" s="5">
        <f>IFERROR('Asignacion de Polos'!H13,"")</f>
        <v>14</v>
      </c>
      <c r="L13" s="5">
        <f>IFERROR('Metodo Rele e=1'!I13,"")</f>
        <v>4.7440906246136338E-2</v>
      </c>
      <c r="M13" s="5">
        <f>IFERROR('Metodo Rele e=1'!H13,"")</f>
        <v>0.7</v>
      </c>
    </row>
    <row r="14" spans="1:13" x14ac:dyDescent="0.3">
      <c r="A14" s="2">
        <f>Datos_Escalon!A14</f>
        <v>10</v>
      </c>
      <c r="B14" s="7">
        <f>Datos_Escalon!B14</f>
        <v>88</v>
      </c>
      <c r="C14" s="5">
        <f>Datos_Escalon!D14</f>
        <v>129.99999841905884</v>
      </c>
      <c r="D14" s="5">
        <f>IFERROR('PID Leonard (1994)'!I14,"")</f>
        <v>12.05931611756743</v>
      </c>
      <c r="E14" s="5">
        <f>IFERROR('PID Leonard (1994)'!H14,"")</f>
        <v>2.8</v>
      </c>
      <c r="F14" s="5">
        <f>IFERROR('PID Cluett y Wang (TCL)'!I14,"")</f>
        <v>18.679182415660623</v>
      </c>
      <c r="G14" s="5">
        <f>IFERROR('PID Cluett y Wang (TCL)'!H14,"")</f>
        <v>2.8</v>
      </c>
      <c r="H14" s="5">
        <f>IFERROR('PID Astrom y Hagglund'!I14,"")</f>
        <v>19.005327626086011</v>
      </c>
      <c r="I14" s="5">
        <f>IFERROR('PID Astrom y Hagglund'!H14,"")</f>
        <v>1.7</v>
      </c>
      <c r="J14" s="5">
        <f>IFERROR('Asignacion de Polos'!I14,"")</f>
        <v>2.7597702527361352</v>
      </c>
      <c r="K14" s="5">
        <f>IFERROR('Asignacion de Polos'!H14,"")</f>
        <v>14</v>
      </c>
      <c r="L14" s="5">
        <f>IFERROR('Metodo Rele e=1'!I14,"")</f>
        <v>4.9239112038829504E-2</v>
      </c>
      <c r="M14" s="5">
        <f>IFERROR('Metodo Rele e=1'!H14,"")</f>
        <v>0.7</v>
      </c>
    </row>
  </sheetData>
  <mergeCells count="9">
    <mergeCell ref="A1:M1"/>
    <mergeCell ref="A3:A4"/>
    <mergeCell ref="B3:B4"/>
    <mergeCell ref="C3:C4"/>
    <mergeCell ref="D3:E3"/>
    <mergeCell ref="F3:G3"/>
    <mergeCell ref="H3:I3"/>
    <mergeCell ref="J3:K3"/>
    <mergeCell ref="L3:M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Datos_Escalon</vt:lpstr>
      <vt:lpstr>PID Leonard (1994)</vt:lpstr>
      <vt:lpstr>PID Astrom y Hagglund</vt:lpstr>
      <vt:lpstr>PID Cluett y Wang (TCL)</vt:lpstr>
      <vt:lpstr>Asignacion de Polos</vt:lpstr>
      <vt:lpstr>Metodo Rele e=1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Miguel Angel Rojas Hernandez</cp:lastModifiedBy>
  <cp:revision>0</cp:revision>
  <dcterms:created xsi:type="dcterms:W3CDTF">2026-09-08T15:30:16Z</dcterms:created>
  <dcterms:modified xsi:type="dcterms:W3CDTF">2026-09-14T23:18:54Z</dcterms:modified>
  <dc:language>en-US</dc:language>
</cp:coreProperties>
</file>